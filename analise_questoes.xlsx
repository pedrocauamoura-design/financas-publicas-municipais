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edb4f11b8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e3611afab4e4ac6"/>
    <x:sheet xmlns:r="http://schemas.openxmlformats.org/officeDocument/2006/relationships" name="Dados_reais" sheetId="2" r:id="R24f26cf8d8ca4e58"/>
    <x:sheet xmlns:r="http://schemas.openxmlformats.org/officeDocument/2006/relationships" name="Q2_Uruguai" sheetId="3" r:id="Re8538d6120c945be"/>
    <x:sheet xmlns:r="http://schemas.openxmlformats.org/officeDocument/2006/relationships" name="Q3_Receita" sheetId="4" r:id="Rd5f150ffa1b34406"/>
    <x:sheet xmlns:r="http://schemas.openxmlformats.org/officeDocument/2006/relationships" name="Q4_ReceitaDespesa" sheetId="5" r:id="R04de0dfe7cce445c"/>
    <x:sheet xmlns:r="http://schemas.openxmlformats.org/officeDocument/2006/relationships" name="Q5_Educacao_IDEB" sheetId="6" r:id="R14c238dfe7dd4412"/>
    <x:sheet xmlns:r="http://schemas.openxmlformats.org/officeDocument/2006/relationships" name="Q6_Laffer" sheetId="7" r:id="R08a17a134f20464a"/>
    <x:sheet xmlns:r="http://schemas.openxmlformats.org/officeDocument/2006/relationships" name="Q7_PIB_Receita" sheetId="8" r:id="R474f461308d046d4"/>
    <x:sheet xmlns:r="http://schemas.openxmlformats.org/officeDocument/2006/relationships" name="Q8_Mapa" sheetId="9" r:id="R42db8c4bbddd4a06"/>
    <x:sheet xmlns:r="http://schemas.openxmlformats.org/officeDocument/2006/relationships" name="Modelos" sheetId="10" r:id="Rdd404adf7871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&quot;R$&quot; #,##0"/>
    <x:numFmt numFmtId="202" formatCode="0.00"/>
    <x:numFmt numFmtId="203" formatCode="#,##0"/>
    <x:numFmt numFmtId="204" formatCode="0.0"/>
    <x:numFmt numFmtId="205" formatCode="0.00%"/>
  </x:numFmts>
  <x:fonts count="6">
    <x:font>
      <x:sz val="11"/>
      <x:name val="Carlito"/>
    </x:font>
    <x:font>
      <x:b/>
      <x:sz val="18"/>
      <x:color rgb="FFFFFF"/>
      <x:name val="Carlito"/>
    </x:font>
    <x:font>
      <x:i/>
      <x:sz val="11"/>
      <x:color rgb="24424D"/>
      <x:name val="Carlito"/>
    </x:font>
    <x:font>
      <x:b/>
      <x:sz val="11"/>
      <x:color rgb="FFFFFF"/>
      <x:name val="Carlito"/>
    </x:font>
    <x:font>
      <x:sz val="11"/>
      <x:color rgb="24333A"/>
      <x:name val="Carlito"/>
    </x:font>
    <x:font>
      <x:sz val="11"/>
      <x:color rgb="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B45"/>
      </x:patternFill>
    </x:fill>
    <x:fill>
      <x:patternFill patternType="solid">
        <x:fgColor rgb="E7F1F0"/>
      </x:patternFill>
    </x:fill>
    <x:fill>
      <x:patternFill patternType="solid">
        <x:fgColor rgb="FFFFFF"/>
      </x:patternFill>
    </x:fill>
    <x:fill>
      <x:patternFill patternType="solid">
        <x:fgColor rgb="F8FAFC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3" fontId="4" fillId="4" borderId="0" xfId="0" applyNumberFormat="1" applyFont="1" applyFill="1" applyBorder="1" applyAlignment="1">
      <x:alignment vertical="center"/>
    </x:xf>
    <x:xf numFmtId="204" fontId="4" fillId="4" borderId="0" xfId="0" applyNumberFormat="1" applyFont="1" applyFill="1" applyBorder="1" applyAlignment="1">
      <x:alignment vertical="center"/>
    </x:xf>
    <x:xf numFmtId="205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f2a580a854174" /><Relationship Type="http://schemas.openxmlformats.org/officeDocument/2006/relationships/theme" Target="/xl/theme/theme1.xml" Id="Rb9e4cc8723bc4018" /><Relationship Type="http://schemas.openxmlformats.org/officeDocument/2006/relationships/sharedStrings" Target="/xl/sharedStrings.xml" Id="Rf22022e1663d4028" /><Relationship Type="http://schemas.openxmlformats.org/officeDocument/2006/relationships/worksheet" Target="/xl/worksheets/sheet1.xml" Id="R6e3611afab4e4ac6" /><Relationship Type="http://schemas.openxmlformats.org/officeDocument/2006/relationships/worksheet" Target="/xl/worksheets/sheet2.xml" Id="R24f26cf8d8ca4e58" /><Relationship Type="http://schemas.openxmlformats.org/officeDocument/2006/relationships/worksheet" Target="/xl/worksheets/sheet3.xml" Id="Re8538d6120c945be" /><Relationship Type="http://schemas.openxmlformats.org/officeDocument/2006/relationships/worksheet" Target="/xl/worksheets/sheet4.xml" Id="Rd5f150ffa1b34406" /><Relationship Type="http://schemas.openxmlformats.org/officeDocument/2006/relationships/worksheet" Target="/xl/worksheets/sheet5.xml" Id="R04de0dfe7cce445c" /><Relationship Type="http://schemas.openxmlformats.org/officeDocument/2006/relationships/worksheet" Target="/xl/worksheets/sheet6.xml" Id="R14c238dfe7dd4412" /><Relationship Type="http://schemas.openxmlformats.org/officeDocument/2006/relationships/worksheet" Target="/xl/worksheets/sheet7.xml" Id="R08a17a134f20464a" /><Relationship Type="http://schemas.openxmlformats.org/officeDocument/2006/relationships/worksheet" Target="/xl/worksheets/sheet8.xml" Id="R474f461308d046d4" /><Relationship Type="http://schemas.openxmlformats.org/officeDocument/2006/relationships/worksheet" Target="/xl/worksheets/sheet9.xml" Id="R42db8c4bbddd4a06" /><Relationship Type="http://schemas.openxmlformats.org/officeDocument/2006/relationships/worksheet" Target="/xl/worksheets/sheet10.xml" Id="Rdd404adf787143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548fcf69e347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bc15433bc1242e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17bda4530354a7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55cef886c864ba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a39e06c9ad8479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e624a9ba7f04a1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.png" Id="Rbb0ca15f29e043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Uruguai: macro e setor público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Cresc. PIB real %</c:v>
          </c:tx>
          <c:cat>
            <c:strRef>
              <c:f>'Q2_Uruguai'!$A$5:$A$14</c:f>
              <c:strCache>
                <c:ptCount val="0"/>
              </c:strCache>
            </c:strRef>
          </c:cat>
          <c:val>
            <c:numRef>
              <c:f>'Q2_Uruguai'!$B$5:$B$14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Inflação IPC %</c:v>
          </c:tx>
          <c:cat>
            <c:strRef>
              <c:f>'Q2_Uruguai'!$A$5:$A$14</c:f>
              <c:strCache>
                <c:ptCount val="0"/>
              </c:strCache>
            </c:strRef>
          </c:cat>
          <c:val>
            <c:numRef>
              <c:f>'Q2_Uruguai'!$C$5:$C$14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Desemprego %</c:v>
          </c:tx>
          <c:cat>
            <c:strRef>
              <c:f>'Q2_Uruguai'!$A$5:$A$14</c:f>
              <c:strCache>
                <c:ptCount val="0"/>
              </c:strCache>
            </c:strRef>
          </c:cat>
          <c:val>
            <c:numRef>
              <c:f>'Q2_Uruguai'!$D$5:$D$14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Consumo governo % PIB</c:v>
          </c:tx>
          <c:cat>
            <c:strRef>
              <c:f>'Q2_Uruguai'!$A$5:$A$14</c:f>
              <c:strCache>
                <c:ptCount val="0"/>
              </c:strCache>
            </c:strRef>
          </c:cat>
          <c:val>
            <c:numRef>
              <c:f>'Q2_Uruguai'!$E$5:$E$14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Receita tributária % PIB</c:v>
          </c:tx>
          <c:cat>
            <c:strRef>
              <c:f>'Q2_Uruguai'!$A$5:$A$14</c:f>
              <c:strCache>
                <c:ptCount val="0"/>
              </c:strCache>
            </c:strRef>
          </c:cat>
          <c:val>
            <c:numRef>
              <c:f>'Q2_Uruguai'!$F$5:$F$14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Composição da receita agregada (%)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Tributária %</c:v>
          </c:tx>
          <c:cat>
            <c:strRef>
              <c:f>'Q3_Receita'!$A$5:$A$14</c:f>
              <c:strCache>
                <c:ptCount val="0"/>
              </c:strCache>
            </c:strRef>
          </c:cat>
          <c:val>
            <c:numRef>
              <c:f>'Q3_Receita'!$B$5:$B$14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Transferências %</c:v>
          </c:tx>
          <c:cat>
            <c:strRef>
              <c:f>'Q3_Receita'!$A$5:$A$14</c:f>
              <c:strCache>
                <c:ptCount val="0"/>
              </c:strCache>
            </c:strRef>
          </c:cat>
          <c:val>
            <c:numRef>
              <c:f>'Q3_Receita'!$C$5:$C$14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Outras %</c:v>
          </c:tx>
          <c:cat>
            <c:strRef>
              <c:f>'Q3_Receita'!$A$5:$A$14</c:f>
              <c:strCache>
                <c:ptCount val="0"/>
              </c:strCache>
            </c:strRef>
          </c:cat>
          <c:val>
            <c:numRef>
              <c:f>'Q3_Receita'!$D$5:$D$14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Receitas e despesas reais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Receita real (R$ bi)</c:v>
          </c:tx>
          <c:cat>
            <c:strRef>
              <c:f>'Q4_ReceitaDespesa'!$A$5:$A$14</c:f>
              <c:strCache>
                <c:ptCount val="0"/>
              </c:strCache>
            </c:strRef>
          </c:cat>
          <c:val>
            <c:numRef>
              <c:f>'Q4_ReceitaDespesa'!$B$5:$B$14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Despesa real (R$ bi)</c:v>
          </c:tx>
          <c:cat>
            <c:strRef>
              <c:f>'Q4_ReceitaDespesa'!$A$5:$A$14</c:f>
              <c:strCache>
                <c:ptCount val="0"/>
              </c:strCache>
            </c:strRef>
          </c:cat>
          <c:val>
            <c:numRef>
              <c:f>'Q4_ReceitaDespesa'!$C$5:$C$14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Resultado (R$ bi)</c:v>
          </c:tx>
          <c:cat>
            <c:strRef>
              <c:f>'Q4_ReceitaDespesa'!$A$5:$A$14</c:f>
              <c:strCache>
                <c:ptCount val="0"/>
              </c:strCache>
            </c:strRef>
          </c:cat>
          <c:val>
            <c:numRef>
              <c:f>'Q4_ReceitaDespesa'!$D$5:$D$14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Educação per capita x IDEB</a:t>
            </a:r>
          </a:p>
        </c:rich>
      </c:tx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v>IDEB</c:v>
          </c:tx>
          <c:xVal>
            <c:numLit>
              <c:formatCode>General</c:formatCode>
              <c:ptCount val="0"/>
            </c:numLit>
          </c:xVal>
          <c:yVal>
            <c:numRef>
              <c:f>'Q5_Educacao_IDEB'!$B$5:$B$12</c:f>
              <c:numCache>
                <c:formatCode>0.0</c:formatCode>
                <c:ptCount val="0"/>
              </c:numCache>
            </c:numRef>
          </c:yVal>
        </c:ser>
        <c:ser>
          <c:idx val="1"/>
          <c:order val="1"/>
          <c:tx>
            <c:v>Ajustado</c:v>
          </c:tx>
          <c:xVal>
            <c:numLit>
              <c:formatCode>General</c:formatCode>
              <c:ptCount val="0"/>
            </c:numLit>
          </c:xVal>
          <c:yVal>
            <c:numRef>
              <c:f>'Q5_Educacao_IDEB'!$C$5:$C$12</c:f>
              <c:numCache>
                <c:formatCode>0.0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0.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numFmt formatCode="$#,##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tributária e proxy de carga</a:t>
            </a:r>
          </a:p>
        </c:rich>
      </c:tx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v>Receita trib. real (R$ bi)</c:v>
          </c:tx>
          <c:xVal>
            <c:numLit>
              <c:formatCode>General</c:formatCode>
              <c:ptCount val="0"/>
            </c:numLit>
          </c:xVal>
          <c:yVal>
            <c:numRef>
              <c:f>'Q6_Laffer'!$B$5:$B$47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Ajuste quadrático (R$ bi)</c:v>
          </c:tx>
          <c:xVal>
            <c:numLit>
              <c:formatCode>General</c:formatCode>
              <c:ptCount val="0"/>
            </c:numLit>
          </c:xVal>
          <c:yVal>
            <c:numRef>
              <c:f>'Q6_Laffer'!$C$5:$C$47</c:f>
              <c:numCache>
                <c:formatCode>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0.0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numFmt formatCode="0.0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municipal x PIB</a:t>
            </a:r>
          </a:p>
        </c:rich>
      </c:tx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v>Receita real (R$ bi)</c:v>
          </c:tx>
          <c:xVal>
            <c:numLit>
              <c:formatCode>General</c:formatCode>
              <c:ptCount val="0"/>
            </c:numLit>
          </c:xVal>
          <c:yVal>
            <c:numRef>
              <c:f>'Q7_PIB_Receita'!$B$5:$B$42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Receita ajustada (R$ bi)</c:v>
          </c:tx>
          <c:xVal>
            <c:numLit>
              <c:formatCode>General</c:formatCode>
              <c:ptCount val="0"/>
            </c:numLit>
          </c:xVal>
          <c:yVal>
            <c:numRef>
              <c:f>'Q7_PIB_Receita'!$C$5:$C$42</c:f>
              <c:numCache>
                <c:formatCode>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0.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numFmt formatCode="0.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548fcf69e3470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c15433bc1242e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7bda4530354a7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5cef886c864ba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39e06c9ad8479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624a9ba7f04a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8572500" cy="5524500"/>
    <xdr:pic>
      <xdr:nvPicPr>
        <xdr:cNvPr id="1" name="2cbca04d-b031-4303-81df-112cf3e9a8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0ca15f29e043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12b050afc4045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c2d1fb6905e4e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266d7830878641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df4955ddfec943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1361e9a6293749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c618e85e3a3c4a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b67c4fcd061640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8.440000534057617" hidden="0" customWidth="1"/>
    <x:col min="3" max="3" width="28.940000534057617" hidden="0" customWidth="1"/>
    <x:col min="4" max="4" width="18.440000534057617" hidden="0" customWidth="1"/>
    <x:col min="5" max="5" width="27.59000015258789" hidden="0" customWidth="1"/>
    <x:col min="6" max="6" width="18.440000534057617" hidden="0" customWidth="1"/>
    <x:col min="7" max="7" width="24.899999618530273" hidden="0" customWidth="1"/>
    <x:col min="8" max="8" width="18.440000534057617" hidden="0" customWidth="1"/>
  </x:cols>
  <x:sheetData>
    <x:row r="1" ht="22.5" customHeight="1">
      <x:c r="A1" s="3" t="str">
        <x:v>Diagnóstico fiscal integrado</x:v>
      </x:c>
    </x:row>
    <x:row r="2" ht="22.5" customHeight="1">
      <x:c r="A2" s="6" t="str">
        <x:v>Resumo das respostas quantitativas e ponte para Power BI/Excel</x:v>
      </x:c>
    </x:row>
    <x:row r="4">
      <x:c r="A4" s="7" t="str">
        <x:v>Indicador</x:v>
      </x:c>
      <x:c r="B4" s="7" t="str">
        <x:v>Valor</x:v>
      </x:c>
      <x:c r="C4" s="7" t="str">
        <x:v>Leitura</x:v>
      </x:c>
      <x:c r="D4" s="7"/>
      <x:c r="E4" s="7" t="str">
        <x:v>Indicador</x:v>
      </x:c>
      <x:c r="F4" s="7" t="str">
        <x:v>Valor</x:v>
      </x:c>
      <x:c r="G4" s="7" t="str">
        <x:v>Leitura</x:v>
      </x:c>
      <x:c r="H4" s="7"/>
    </x:row>
    <x:row r="5">
      <x:c r="A5" s="10" t="str">
        <x:v>Correlação PIB x Receita</x:v>
      </x:c>
      <x:c r="B5" s="11" t="n">
        <x:v>0.5146524103257734</x:v>
      </x:c>
      <x:c r="C5" s="10" t="str">
        <x:v>moderada positiva</x:v>
      </x:c>
      <x:c r="D5" s="10"/>
      <x:c r="E5" s="10" t="str">
        <x:v>Receita pc SJC 2024</x:v>
      </x:c>
      <x:c r="F5" s="12" t="n">
        <x:v>6632.168052047861</x:v>
      </x:c>
      <x:c r="G5" s="10" t="str">
        <x:v>R$/habitante</x:v>
      </x:c>
    </x:row>
    <x:row r="6">
      <x:c r="A6" s="10" t="str">
        <x:v>β1 Receita~PIB</x:v>
      </x:c>
      <x:c r="B6" s="11" t="n">
        <x:v>0.01210366190836899</x:v>
      </x:c>
      <x:c r="C6" s="10" t="str">
        <x:v>R$ receita por R$ 1 de PIB</x:v>
      </x:c>
      <x:c r="D6" s="10"/>
      <x:c r="E6" s="10" t="str">
        <x:v>Receita pc Santos 2024</x:v>
      </x:c>
      <x:c r="F6" s="12" t="n">
        <x:v>12077.454410348093</x:v>
      </x:c>
      <x:c r="G6" s="10" t="str">
        <x:v>R$/habitante</x:v>
      </x:c>
    </x:row>
    <x:row r="7">
      <x:c r="A7" s="10" t="str">
        <x:v>R² Receita~PIB</x:v>
      </x:c>
      <x:c r="B7" s="11" t="n">
        <x:v>0.26486710345412856</x:v>
      </x:c>
      <x:c r="C7" s="10" t="str">
        <x:v>poder explicativo limitado</x:v>
      </x:c>
      <x:c r="D7" s="10"/>
      <x:c r="E7" s="10" t="str">
        <x:v>Gov. consumo Uruguai 2024</x:v>
      </x:c>
      <x:c r="F7" s="13" t="n">
        <x:v>17.167989034341</x:v>
      </x:c>
      <x:c r="G7" s="10" t="str">
        <x:v>% do PIB</x:v>
      </x:c>
    </x:row>
    <x:row r="8">
      <x:c r="A8" s="10" t="str">
        <x:v>Corr. gasto educação x IDEB</x:v>
      </x:c>
      <x:c r="B8" s="11" t="n">
        <x:v>-0.7543890095475915</x:v>
      </x:c>
      <x:c r="C8" s="10" t="str">
        <x:v>negativa no recorte</x:v>
      </x:c>
      <x:c r="D8" s="10"/>
      <x:c r="E8" s="10" t="str">
        <x:v>Receita tributária Uruguai 2024</x:v>
      </x:c>
      <x:c r="F8" s="13" t="n">
        <x:v>18.1623555712757</x:v>
      </x:c>
      <x:c r="G8" s="10" t="str">
        <x:v>% do PIB</x:v>
      </x:c>
    </x:row>
    <x:row r="9">
      <x:c r="A9" s="10" t="str">
        <x:v>Laffer quadrática</x:v>
      </x:c>
      <x:c r="B9" s="11" t="str">
        <x:v>β2 &gt; 0</x:v>
      </x:c>
      <x:c r="C9" s="10" t="str">
        <x:v>sem inversão no intervalo</x:v>
      </x:c>
      <x:c r="D9" s="10"/>
      <x:c r="E9" s="10" t="str">
        <x:v>Base municipal</x:v>
      </x:c>
      <x:c r="F9" s="10" t="n">
        <x:v>20</x:v>
      </x:c>
      <x:c r="G9" s="10" t="str">
        <x:v>linhas 2015-2024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7.09000015258789" hidden="0" customWidth="1"/>
    <x:col min="3" max="3" width="17.09000015258789" hidden="0" customWidth="1"/>
    <x:col min="4" max="4" width="17.09000015258789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17.09000015258789" hidden="0" customWidth="1"/>
    <x:col min="10" max="10" width="17.09000015258789" hidden="0" customWidth="1"/>
    <x:col min="11" max="11" width="17.09000015258789" hidden="0" customWidth="1"/>
    <x:col min="12" max="12" width="17.09000015258789" hidden="0" customWidth="1"/>
    <x:col min="13" max="13" width="17.09000015258789" hidden="0" customWidth="1"/>
    <x:col min="14" max="14" width="17.09000015258789" hidden="0" customWidth="1"/>
  </x:cols>
  <x:sheetData>
    <x:row r="1" ht="22.5" customHeight="1">
      <x:c r="A1" s="3" t="str">
        <x:v>Base em valores reais</x:v>
      </x:c>
    </x:row>
    <x:row r="2" ht="22.5" customHeight="1">
      <x:c r="A2" s="6" t="str">
        <x:v>Valores monetários deflacionados para reais de 2024 pelo IPCA/SIDRA</x:v>
      </x:c>
    </x:row>
    <x:row r="4">
      <x:c r="A4" s="16" t="str">
        <x:v>municipio</x:v>
      </x:c>
      <x:c r="B4" s="16" t="str">
        <x:v>ano</x:v>
      </x:c>
      <x:c r="C4" s="16" t="str">
        <x:v>populacao</x:v>
      </x:c>
      <x:c r="D4" s="16" t="str">
        <x:v>pib_real_2024</x:v>
      </x:c>
      <x:c r="E4" s="16" t="str">
        <x:v>receita_real_2024</x:v>
      </x:c>
      <x:c r="F4" s="16" t="str">
        <x:v>despesa_real_2024</x:v>
      </x:c>
      <x:c r="G4" s="16" t="str">
        <x:v>receita_tributaria_real_2024</x:v>
      </x:c>
      <x:c r="H4" s="16" t="str">
        <x:v>transferencias_real_2024</x:v>
      </x:c>
      <x:c r="I4" s="16" t="str">
        <x:v>despesa_educacao_real_2024</x:v>
      </x:c>
      <x:c r="J4" s="16" t="str">
        <x:v>despesa_saude_real_2024</x:v>
      </x:c>
      <x:c r="K4" s="16" t="str">
        <x:v>ideb</x:v>
      </x:c>
      <x:c r="L4" s="16" t="str">
        <x:v>indicador_saude</x:v>
      </x:c>
      <x:c r="M4" s="16" t="str">
        <x:v>ipca</x:v>
      </x:c>
      <x:c r="N4" s="16" t="str">
        <x:v>proxy_carga_tributaria</x:v>
      </x:c>
    </x:row>
    <x:row r="5">
      <x:c r="A5" s="10" t="str">
        <x:v>Santos</x:v>
      </x:c>
      <x:c r="B5" s="10" t="n">
        <x:v>2015</x:v>
      </x:c>
      <x:c r="C5" s="17" t="n">
        <x:v>433966</x:v>
      </x:c>
      <x:c r="D5" s="12" t="n">
        <x:v>31684399184.76265</x:v>
      </x:c>
      <x:c r="E5" s="12" t="n">
        <x:v>3213616345.3696356</x:v>
      </x:c>
      <x:c r="F5" s="12" t="n">
        <x:v>3337678833.7234435</x:v>
      </x:c>
      <x:c r="G5" s="12" t="n">
        <x:v>1566207463.1709306</x:v>
      </x:c>
      <x:c r="H5" s="12" t="n">
        <x:v>1261847118.2177393</x:v>
      </x:c>
      <x:c r="I5" s="12" t="n">
        <x:v>831901575.521507</x:v>
      </x:c>
      <x:c r="J5" s="12" t="n">
        <x:v>797861713.0818052</x:v>
      </x:c>
      <x:c r="K5" s="18" t="n">
        <x:v>6.1</x:v>
      </x:c>
      <x:c r="L5" s="18" t="n">
        <x:v>9.482309674029763</x:v>
      </x:c>
      <x:c r="M5" s="19" t="n">
        <x:v>0.1067</x:v>
      </x:c>
      <x:c r="N5" s="19" t="n">
        <x:v>0.04943150267858435</x:v>
      </x:c>
    </x:row>
    <x:row r="6">
      <x:c r="A6" s="10" t="str">
        <x:v>Santos</x:v>
      </x:c>
      <x:c r="B6" s="10" t="n">
        <x:v>2016</x:v>
      </x:c>
      <x:c r="C6" s="17" t="n">
        <x:v>434359</x:v>
      </x:c>
      <x:c r="D6" s="12" t="n">
        <x:v>32275487264.170696</x:v>
      </x:c>
      <x:c r="E6" s="12" t="n">
        <x:v>3775475674.8384833</x:v>
      </x:c>
      <x:c r="F6" s="12" t="n">
        <x:v>3650407319.7534275</x:v>
      </x:c>
      <x:c r="G6" s="12" t="n">
        <x:v>1487742168.914444</x:v>
      </x:c>
      <x:c r="H6" s="12" t="n">
        <x:v>1176189481.923651</x:v>
      </x:c>
      <x:c r="I6" s="12" t="n">
        <x:v>810258064.2497383</x:v>
      </x:c>
      <x:c r="J6" s="12" t="n">
        <x:v>796561064.9269186</x:v>
      </x:c>
      <x:c r="K6" s="18"/>
      <x:c r="L6" s="18" t="n">
        <x:v>9.86741382128608</x:v>
      </x:c>
      <x:c r="M6" s="19" t="n">
        <x:v>0.0629</x:v>
      </x:c>
      <x:c r="N6" s="19" t="n">
        <x:v>0.04609511102768074</x:v>
      </x:c>
    </x:row>
    <x:row r="7">
      <x:c r="A7" s="10" t="str">
        <x:v>Santos</x:v>
      </x:c>
      <x:c r="B7" s="10" t="n">
        <x:v>2017</x:v>
      </x:c>
      <x:c r="C7" s="17" t="n">
        <x:v>434742</x:v>
      </x:c>
      <x:c r="D7" s="12" t="n">
        <x:v>32365630565.38648</x:v>
      </x:c>
      <x:c r="E7" s="12" t="n">
        <x:v>3812708622.820723</x:v>
      </x:c>
      <x:c r="F7" s="12" t="n">
        <x:v>3595815914.7957067</x:v>
      </x:c>
      <x:c r="G7" s="12" t="n">
        <x:v>1527823484.1154041</x:v>
      </x:c>
      <x:c r="H7" s="12" t="n">
        <x:v>1185292894.4384384</x:v>
      </x:c>
      <x:c r="I7" s="12" t="n">
        <x:v>797961534.6615574</x:v>
      </x:c>
      <x:c r="J7" s="12" t="n">
        <x:v>773353063.5920134</x:v>
      </x:c>
      <x:c r="K7" s="18" t="n">
        <x:v>6</x:v>
      </x:c>
      <x:c r="L7" s="18" t="n">
        <x:v>9.59649631275561</x:v>
      </x:c>
      <x:c r="M7" s="19" t="n">
        <x:v>0.029500000000000002</x:v>
      </x:c>
      <x:c r="N7" s="19" t="n">
        <x:v>0.047205120290452166</x:v>
      </x:c>
    </x:row>
    <x:row r="8">
      <x:c r="A8" s="10" t="str">
        <x:v>Santos</x:v>
      </x:c>
      <x:c r="B8" s="10" t="n">
        <x:v>2018</x:v>
      </x:c>
      <x:c r="C8" s="17" t="n">
        <x:v>432957</x:v>
      </x:c>
      <x:c r="D8" s="12" t="n">
        <x:v>31284832707.1664</x:v>
      </x:c>
      <x:c r="E8" s="12" t="n">
        <x:v>4036019628.1190224</x:v>
      </x:c>
      <x:c r="F8" s="12" t="n">
        <x:v>3658132638.356787</x:v>
      </x:c>
      <x:c r="G8" s="12" t="n">
        <x:v>1923753253.4891455</x:v>
      </x:c>
      <x:c r="H8" s="12" t="n">
        <x:v>1223914570.768316</x:v>
      </x:c>
      <x:c r="I8" s="12" t="n">
        <x:v>679847527.2697854</x:v>
      </x:c>
      <x:c r="J8" s="12" t="n">
        <x:v>724264791.2666221</x:v>
      </x:c>
      <x:c r="K8" s="18"/>
      <x:c r="L8" s="18" t="n">
        <x:v>9.691493612529651</x:v>
      </x:c>
      <x:c r="M8" s="19" t="n">
        <x:v>0.0375</x:v>
      </x:c>
      <x:c r="N8" s="19" t="n">
        <x:v>0.06149156274850312</x:v>
      </x:c>
    </x:row>
    <x:row r="9">
      <x:c r="A9" s="10" t="str">
        <x:v>Santos</x:v>
      </x:c>
      <x:c r="B9" s="10" t="n">
        <x:v>2019</x:v>
      </x:c>
      <x:c r="C9" s="17" t="n">
        <x:v>433311</x:v>
      </x:c>
      <x:c r="D9" s="12" t="n">
        <x:v>30363315518.16174</x:v>
      </x:c>
      <x:c r="E9" s="12" t="n">
        <x:v>4020536293.5526385</x:v>
      </x:c>
      <x:c r="F9" s="12" t="n">
        <x:v>4129718283.010531</x:v>
      </x:c>
      <x:c r="G9" s="12" t="n">
        <x:v>2133203238.8763113</x:v>
      </x:c>
      <x:c r="H9" s="12" t="n">
        <x:v>1270280019.2811944</x:v>
      </x:c>
      <x:c r="I9" s="12" t="n">
        <x:v>713038061.3378394</x:v>
      </x:c>
      <x:c r="J9" s="12" t="n">
        <x:v>834501108.9478285</x:v>
      </x:c>
      <x:c r="K9" s="18" t="n">
        <x:v>5.8</x:v>
      </x:c>
      <x:c r="L9" s="18" t="n">
        <x:v>9.762041582143079</x:v>
      </x:c>
      <x:c r="M9" s="19" t="n">
        <x:v>0.0431</x:v>
      </x:c>
      <x:c r="N9" s="19" t="n">
        <x:v>0.0702559388680838</x:v>
      </x:c>
    </x:row>
    <x:row r="10">
      <x:c r="A10" s="10" t="str">
        <x:v>Santos</x:v>
      </x:c>
      <x:c r="B10" s="10" t="n">
        <x:v>2020</x:v>
      </x:c>
      <x:c r="C10" s="17" t="n">
        <x:v>433656</x:v>
      </x:c>
      <x:c r="D10" s="12" t="n">
        <x:v>28673159243.173836</x:v>
      </x:c>
      <x:c r="E10" s="12" t="n">
        <x:v>3912521413.660319</x:v>
      </x:c>
      <x:c r="F10" s="12" t="n">
        <x:v>4109329704.7371745</x:v>
      </x:c>
      <x:c r="G10" s="12" t="n">
        <x:v>1982462167.9757948</x:v>
      </x:c>
      <x:c r="H10" s="12" t="n">
        <x:v>1427365624.553098</x:v>
      </x:c>
      <x:c r="I10" s="12" t="n">
        <x:v>633953537.8615283</x:v>
      </x:c>
      <x:c r="J10" s="12" t="n">
        <x:v>952224792.4376163</x:v>
      </x:c>
      <x:c r="K10" s="18"/>
      <x:c r="L10" s="18" t="n">
        <x:v>11.423801354068662</x:v>
      </x:c>
      <x:c r="M10" s="19" t="n">
        <x:v>0.0452</x:v>
      </x:c>
      <x:c r="N10" s="19" t="n">
        <x:v>0.06913999783430756</x:v>
      </x:c>
    </x:row>
    <x:row r="11">
      <x:c r="A11" s="10" t="str">
        <x:v>Santos</x:v>
      </x:c>
      <x:c r="B11" s="10" t="n">
        <x:v>2021</x:v>
      </x:c>
      <x:c r="C11" s="17" t="n">
        <x:v>433991</x:v>
      </x:c>
      <x:c r="D11" s="12" t="n">
        <x:v>27949535196.91048</x:v>
      </x:c>
      <x:c r="E11" s="12" t="n">
        <x:v>3843316799.277781</x:v>
      </x:c>
      <x:c r="F11" s="12" t="n">
        <x:v>3955013434.289682</x:v>
      </x:c>
      <x:c r="G11" s="12" t="n">
        <x:v>1963524449.6980805</x:v>
      </x:c>
      <x:c r="H11" s="12" t="n">
        <x:v>1436815316.1665006</x:v>
      </x:c>
      <x:c r="I11" s="12" t="n">
        <x:v>613959854.1109349</x:v>
      </x:c>
      <x:c r="J11" s="12" t="n">
        <x:v>967623353.8179686</x:v>
      </x:c>
      <x:c r="K11" s="18" t="n">
        <x:v>5.9</x:v>
      </x:c>
      <x:c r="L11" s="18" t="n">
        <x:v>13.179996820210556</x:v>
      </x:c>
      <x:c r="M11" s="19" t="n">
        <x:v>0.10060000000000001</x:v>
      </x:c>
      <x:c r="N11" s="19" t="n">
        <x:v>0.07025249027808975</x:v>
      </x:c>
    </x:row>
    <x:row r="12">
      <x:c r="A12" s="10" t="str">
        <x:v>Santos</x:v>
      </x:c>
      <x:c r="B12" s="10" t="n">
        <x:v>2022</x:v>
      </x:c>
      <x:c r="C12" s="17" t="n">
        <x:v>418608</x:v>
      </x:c>
      <x:c r="D12" s="12" t="n">
        <x:v>30172710006.889</x:v>
      </x:c>
      <x:c r="E12" s="12" t="n">
        <x:v>4240324050.1724114</x:v>
      </x:c>
      <x:c r="F12" s="12" t="n">
        <x:v>4280045215.103853</x:v>
      </x:c>
      <x:c r="G12" s="12" t="n">
        <x:v>2227141270.4671583</x:v>
      </x:c>
      <x:c r="H12" s="12" t="n">
        <x:v>1570804439.9671392</x:v>
      </x:c>
      <x:c r="I12" s="12" t="n">
        <x:v>797121936.0506381</x:v>
      </x:c>
      <x:c r="J12" s="12" t="n">
        <x:v>883478763.6521204</x:v>
      </x:c>
      <x:c r="K12" s="18"/>
      <x:c r="L12" s="18" t="n">
        <x:v>11.459408324733403</x:v>
      </x:c>
      <x:c r="M12" s="19" t="n">
        <x:v>0.0579</x:v>
      </x:c>
      <x:c r="N12" s="19" t="n">
        <x:v>0.0738131003134508</x:v>
      </x:c>
    </x:row>
    <x:row r="13">
      <x:c r="A13" s="10" t="str">
        <x:v>Santos</x:v>
      </x:c>
      <x:c r="B13" s="10" t="n">
        <x:v>2023</x:v>
      </x:c>
      <x:c r="C13" s="17"/>
      <x:c r="D13" s="12" t="n">
        <x:v>32457539513.26316</x:v>
      </x:c>
      <x:c r="E13" s="12" t="n">
        <x:v>4538074518.388787</x:v>
      </x:c>
      <x:c r="F13" s="12" t="n">
        <x:v>4812848470.101207</x:v>
      </x:c>
      <x:c r="G13" s="12" t="n">
        <x:v>2328579915.6245313</x:v>
      </x:c>
      <x:c r="H13" s="12" t="n">
        <x:v>1627497212.109557</x:v>
      </x:c>
      <x:c r="I13" s="12" t="n">
        <x:v>845184134.269702</x:v>
      </x:c>
      <x:c r="J13" s="12" t="n">
        <x:v>948145160.7506661</x:v>
      </x:c>
      <x:c r="K13" s="18" t="n">
        <x:v>5.9</x:v>
      </x:c>
      <x:c r="L13" s="18"/>
      <x:c r="M13" s="19" t="n">
        <x:v>0.0462</x:v>
      </x:c>
      <x:c r="N13" s="19" t="n">
        <x:v>0.07174234247401905</x:v>
      </x:c>
    </x:row>
    <x:row r="14">
      <x:c r="A14" s="10" t="str">
        <x:v>Santos</x:v>
      </x:c>
      <x:c r="B14" s="10" t="n">
        <x:v>2024</x:v>
      </x:c>
      <x:c r="C14" s="17" t="n">
        <x:v>429567</x:v>
      </x:c>
      <x:c r="D14" s="12"/>
      <x:c r="E14" s="12" t="n">
        <x:v>5188075858.69</x:v>
      </x:c>
      <x:c r="F14" s="12" t="n">
        <x:v>5171875878.5</x:v>
      </x:c>
      <x:c r="G14" s="12" t="n">
        <x:v>2486315217.47</x:v>
      </x:c>
      <x:c r="H14" s="12" t="n">
        <x:v>1938126442.05</x:v>
      </x:c>
      <x:c r="I14" s="12" t="n">
        <x:v>893581482.96</x:v>
      </x:c>
      <x:c r="J14" s="12" t="n">
        <x:v>1078461681.78</x:v>
      </x:c>
      <x:c r="K14" s="18"/>
      <x:c r="L14" s="18" t="n">
        <x:v>11.00410413276625</x:v>
      </x:c>
      <x:c r="M14" s="19" t="n">
        <x:v>0.0483</x:v>
      </x:c>
      <x:c r="N14" s="19"/>
    </x:row>
    <x:row r="15">
      <x:c r="A15" s="10" t="str">
        <x:v>São José dos Campos</x:v>
      </x:c>
      <x:c r="B15" s="10" t="n">
        <x:v>2015</x:v>
      </x:c>
      <x:c r="C15" s="17" t="n">
        <x:v>688597</x:v>
      </x:c>
      <x:c r="D15" s="12" t="n">
        <x:v>53555343112.10126</x:v>
      </x:c>
      <x:c r="E15" s="12" t="n">
        <x:v>4102453081.8861847</x:v>
      </x:c>
      <x:c r="F15" s="12" t="n">
        <x:v>3622945464.056932</x:v>
      </x:c>
      <x:c r="G15" s="12" t="n">
        <x:v>895537627.1995986</x:v>
      </x:c>
      <x:c r="H15" s="12" t="n">
        <x:v>2252055996.4796925</x:v>
      </x:c>
      <x:c r="I15" s="12" t="n">
        <x:v>853589132.6728647</x:v>
      </x:c>
      <x:c r="J15" s="12" t="n">
        <x:v>900098698.5938503</x:v>
      </x:c>
      <x:c r="K15" s="18" t="n">
        <x:v>6.6</x:v>
      </x:c>
      <x:c r="L15" s="18" t="n">
        <x:v>5.43569025133714</x:v>
      </x:c>
      <x:c r="M15" s="19" t="n">
        <x:v>0.1067</x:v>
      </x:c>
      <x:c r="N15" s="19" t="n">
        <x:v>0.01672172327091757</x:v>
      </x:c>
    </x:row>
    <x:row r="16">
      <x:c r="A16" s="10" t="str">
        <x:v>São José dos Campos</x:v>
      </x:c>
      <x:c r="B16" s="10" t="n">
        <x:v>2016</x:v>
      </x:c>
      <x:c r="C16" s="17" t="n">
        <x:v>695992</x:v>
      </x:c>
      <x:c r="D16" s="12" t="n">
        <x:v>61895751496.42984</x:v>
      </x:c>
      <x:c r="E16" s="12" t="n">
        <x:v>4530389949.798894</x:v>
      </x:c>
      <x:c r="F16" s="12" t="n">
        <x:v>4006947821.7663364</x:v>
      </x:c>
      <x:c r="G16" s="12" t="n">
        <x:v>887839433.8475983</x:v>
      </x:c>
      <x:c r="H16" s="12" t="n">
        <x:v>2145002182.488275</x:v>
      </x:c>
      <x:c r="I16" s="12" t="n">
        <x:v>898722379.9807274</x:v>
      </x:c>
      <x:c r="J16" s="12" t="n">
        <x:v>893427338.85138</x:v>
      </x:c>
      <x:c r="K16" s="18"/>
      <x:c r="L16" s="18" t="n">
        <x:v>5.560408740330349</x:v>
      </x:c>
      <x:c r="M16" s="19" t="n">
        <x:v>0.0629</x:v>
      </x:c>
      <x:c r="N16" s="19" t="n">
        <x:v>0.014344109448268175</x:v>
      </x:c>
    </x:row>
    <x:row r="17">
      <x:c r="A17" s="10" t="str">
        <x:v>São José dos Campos</x:v>
      </x:c>
      <x:c r="B17" s="10" t="n">
        <x:v>2017</x:v>
      </x:c>
      <x:c r="C17" s="17" t="n">
        <x:v>703219</x:v>
      </x:c>
      <x:c r="D17" s="12" t="n">
        <x:v>56897506684.17927</x:v>
      </x:c>
      <x:c r="E17" s="12" t="n">
        <x:v>4124413502.3173842</x:v>
      </x:c>
      <x:c r="F17" s="12" t="n">
        <x:v>3523137395.54953</x:v>
      </x:c>
      <x:c r="G17" s="12" t="n">
        <x:v>934426205.7275895</x:v>
      </x:c>
      <x:c r="H17" s="12" t="n">
        <x:v>2203853487.034825</x:v>
      </x:c>
      <x:c r="I17" s="12" t="n">
        <x:v>832331438.0148145</x:v>
      </x:c>
      <x:c r="J17" s="12" t="n">
        <x:v>886206376.2493564</x:v>
      </x:c>
      <x:c r="K17" s="18" t="n">
        <x:v>6.9</x:v>
      </x:c>
      <x:c r="L17" s="18" t="n">
        <x:v>5.363905127705594</x:v>
      </x:c>
      <x:c r="M17" s="19" t="n">
        <x:v>0.029500000000000002</x:v>
      </x:c>
      <x:c r="N17" s="19" t="n">
        <x:v>0.01642297281872657</x:v>
      </x:c>
    </x:row>
    <x:row r="18">
      <x:c r="A18" s="10" t="str">
        <x:v>São José dos Campos</x:v>
      </x:c>
      <x:c r="B18" s="10" t="n">
        <x:v>2018</x:v>
      </x:c>
      <x:c r="C18" s="17" t="n">
        <x:v>713943</x:v>
      </x:c>
      <x:c r="D18" s="12" t="n">
        <x:v>55258691393.28434</x:v>
      </x:c>
      <x:c r="E18" s="12" t="n">
        <x:v>3864615398.87751</x:v>
      </x:c>
      <x:c r="F18" s="12" t="n">
        <x:v>3928043480.692753</x:v>
      </x:c>
      <x:c r="G18" s="12" t="n">
        <x:v>1059359701.6524438</x:v>
      </x:c>
      <x:c r="H18" s="12" t="n">
        <x:v>2280349924.3104954</x:v>
      </x:c>
      <x:c r="I18" s="12" t="n">
        <x:v>860718525.1950159</x:v>
      </x:c>
      <x:c r="J18" s="12" t="n">
        <x:v>908039212.5708416</x:v>
      </x:c>
      <x:c r="K18" s="18"/>
      <x:c r="L18" s="18" t="n">
        <x:v>5.5704727128076055</x:v>
      </x:c>
      <x:c r="M18" s="19" t="n">
        <x:v>0.0375</x:v>
      </x:c>
      <x:c r="N18" s="19" t="n">
        <x:v>0.019170915469438516</x:v>
      </x:c>
    </x:row>
    <x:row r="19">
      <x:c r="A19" s="10" t="str">
        <x:v>São José dos Campos</x:v>
      </x:c>
      <x:c r="B19" s="10" t="n">
        <x:v>2019</x:v>
      </x:c>
      <x:c r="C19" s="17" t="n">
        <x:v>721944</x:v>
      </x:c>
      <x:c r="D19" s="12" t="n">
        <x:v>58138991427.09459</x:v>
      </x:c>
      <x:c r="E19" s="12" t="n">
        <x:v>4023812645.320226</x:v>
      </x:c>
      <x:c r="F19" s="12" t="n">
        <x:v>4217065415.6465955</x:v>
      </x:c>
      <x:c r="G19" s="12" t="n">
        <x:v>1131812700.0634463</x:v>
      </x:c>
      <x:c r="H19" s="12" t="n">
        <x:v>2347785880.853473</x:v>
      </x:c>
      <x:c r="I19" s="12" t="n">
        <x:v>919659925.5931497</x:v>
      </x:c>
      <x:c r="J19" s="12" t="n">
        <x:v>932317432.3627695</x:v>
      </x:c>
      <x:c r="K19" s="18" t="n">
        <x:v>7</x:v>
      </x:c>
      <x:c r="L19" s="18" t="n">
        <x:v>5.831477233691255</x:v>
      </x:c>
      <x:c r="M19" s="19" t="n">
        <x:v>0.0431</x:v>
      </x:c>
      <x:c r="N19" s="19" t="n">
        <x:v>0.0194673604113467</x:v>
      </x:c>
    </x:row>
    <x:row r="20">
      <x:c r="A20" s="10" t="str">
        <x:v>São José dos Campos</x:v>
      </x:c>
      <x:c r="B20" s="10" t="n">
        <x:v>2020</x:v>
      </x:c>
      <x:c r="C20" s="17" t="n">
        <x:v>729737</x:v>
      </x:c>
      <x:c r="D20" s="12" t="n">
        <x:v>50264838401.05097</x:v>
      </x:c>
      <x:c r="E20" s="12" t="n">
        <x:v>4145943137.613454</x:v>
      </x:c>
      <x:c r="F20" s="12" t="n">
        <x:v>4141436204.112941</x:v>
      </x:c>
      <x:c r="G20" s="12" t="n">
        <x:v>1114841796.5267346</x:v>
      </x:c>
      <x:c r="H20" s="12" t="n">
        <x:v>2416792337.8906198</x:v>
      </x:c>
      <x:c r="I20" s="12" t="n">
        <x:v>850856489.1988755</x:v>
      </x:c>
      <x:c r="J20" s="12" t="n">
        <x:v>1003621370.4545472</x:v>
      </x:c>
      <x:c r="K20" s="18"/>
      <x:c r="L20" s="18" t="n">
        <x:v>6.373529093358291</x:v>
      </x:c>
      <x:c r="M20" s="19" t="n">
        <x:v>0.0452</x:v>
      </x:c>
      <x:c r="N20" s="19" t="n">
        <x:v>0.022179357021536245</x:v>
      </x:c>
    </x:row>
    <x:row r="21">
      <x:c r="A21" s="10" t="str">
        <x:v>São José dos Campos</x:v>
      </x:c>
      <x:c r="B21" s="10" t="n">
        <x:v>2021</x:v>
      </x:c>
      <x:c r="C21" s="17" t="n">
        <x:v>737310</x:v>
      </x:c>
      <x:c r="D21" s="12" t="n">
        <x:v>52451477638.05466</x:v>
      </x:c>
      <x:c r="E21" s="12" t="n">
        <x:v>4252333398.4121447</x:v>
      </x:c>
      <x:c r="F21" s="12" t="n">
        <x:v>4083077815.491875</x:v>
      </x:c>
      <x:c r="G21" s="12" t="n">
        <x:v>1114872054.3351066</x:v>
      </x:c>
      <x:c r="H21" s="12" t="n">
        <x:v>2518758314.395964</x:v>
      </x:c>
      <x:c r="I21" s="12" t="n">
        <x:v>915393944.0726107</x:v>
      </x:c>
      <x:c r="J21" s="12" t="n">
        <x:v>965305270.532169</x:v>
      </x:c>
      <x:c r="K21" s="18" t="n">
        <x:v>6.7</x:v>
      </x:c>
      <x:c r="L21" s="18" t="n">
        <x:v>7.729448942778478</x:v>
      </x:c>
      <x:c r="M21" s="19" t="n">
        <x:v>0.10060000000000001</x:v>
      </x:c>
      <x:c r="N21" s="19" t="n">
        <x:v>0.021255303082753255</x:v>
      </x:c>
    </x:row>
    <x:row r="22">
      <x:c r="A22" s="10" t="str">
        <x:v>São José dos Campos</x:v>
      </x:c>
      <x:c r="B22" s="10" t="n">
        <x:v>2022</x:v>
      </x:c>
      <x:c r="C22" s="17" t="n">
        <x:v>697054</x:v>
      </x:c>
      <x:c r="D22" s="12" t="n">
        <x:v>62134902104.15673</x:v>
      </x:c>
      <x:c r="E22" s="12" t="n">
        <x:v>4492238835.922482</x:v>
      </x:c>
      <x:c r="F22" s="12" t="n">
        <x:v>4414878655.241092</x:v>
      </x:c>
      <x:c r="G22" s="12" t="n">
        <x:v>1195156606.3140721</x:v>
      </x:c>
      <x:c r="H22" s="12" t="n">
        <x:v>2657493093.7005105</x:v>
      </x:c>
      <x:c r="I22" s="12" t="n">
        <x:v>1058412852.2013541</x:v>
      </x:c>
      <x:c r="J22" s="12" t="n">
        <x:v>1013232292.6122946</x:v>
      </x:c>
      <x:c r="K22" s="18"/>
      <x:c r="L22" s="18" t="n">
        <x:v>6.893296645597041</x:v>
      </x:c>
      <x:c r="M22" s="19" t="n">
        <x:v>0.0579</x:v>
      </x:c>
      <x:c r="N22" s="19" t="n">
        <x:v>0.019234867455180524</x:v>
      </x:c>
    </x:row>
    <x:row r="23">
      <x:c r="A23" s="10" t="str">
        <x:v>São José dos Campos</x:v>
      </x:c>
      <x:c r="B23" s="10" t="n">
        <x:v>2023</x:v>
      </x:c>
      <x:c r="C23" s="17"/>
      <x:c r="D23" s="12" t="n">
        <x:v>64360614247.18046</x:v>
      </x:c>
      <x:c r="E23" s="12" t="n">
        <x:v>4471161166.9658375</x:v>
      </x:c>
      <x:c r="F23" s="12" t="n">
        <x:v>4712873192.97304</x:v>
      </x:c>
      <x:c r="G23" s="12" t="n">
        <x:v>1284147420.5034885</x:v>
      </x:c>
      <x:c r="H23" s="12" t="n">
        <x:v>2569667058.7393584</x:v>
      </x:c>
      <x:c r="I23" s="12" t="n">
        <x:v>1085236277.6057434</x:v>
      </x:c>
      <x:c r="J23" s="12" t="n">
        <x:v>1051308669.7679111</x:v>
      </x:c>
      <x:c r="K23" s="18" t="n">
        <x:v>6.8</x:v>
      </x:c>
      <x:c r="L23" s="18"/>
      <x:c r="M23" s="19" t="n">
        <x:v>0.0462</x:v>
      </x:c>
      <x:c r="N23" s="19" t="n">
        <x:v>0.01995237981371107</x:v>
      </x:c>
    </x:row>
    <x:row r="24">
      <x:c r="A24" s="10" t="str">
        <x:v>São José dos Campos</x:v>
      </x:c>
      <x:c r="B24" s="10" t="n">
        <x:v>2024</x:v>
      </x:c>
      <x:c r="C24" s="17" t="n">
        <x:v>724756</x:v>
      </x:c>
      <x:c r="D24" s="12"/>
      <x:c r="E24" s="12" t="n">
        <x:v>4806703588.73</x:v>
      </x:c>
      <x:c r="F24" s="12" t="n">
        <x:v>4887415434.24</x:v>
      </x:c>
      <x:c r="G24" s="12" t="n">
        <x:v>1368945023.35</x:v>
      </x:c>
      <x:c r="H24" s="12" t="n">
        <x:v>2828848874.37</x:v>
      </x:c>
      <x:c r="I24" s="12" t="n">
        <x:v>1173604001.11</x:v>
      </x:c>
      <x:c r="J24" s="12" t="n">
        <x:v>1100623778.41</x:v>
      </x:c>
      <x:c r="K24" s="18"/>
      <x:c r="L24" s="18" t="n">
        <x:v>6.93750724381723</x:v>
      </x:c>
      <x:c r="M24" s="19" t="n">
        <x:v>0.0483</x:v>
      </x:c>
      <x:c r="N24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49999618530273" hidden="0" customWidth="1"/>
    <x:col min="2" max="2" width="16.149999618530273" hidden="0" customWidth="1"/>
    <x:col min="3" max="3" width="16.149999618530273" hidden="0" customWidth="1"/>
    <x:col min="4" max="4" width="16.149999618530273" hidden="0" customWidth="1"/>
    <x:col min="5" max="5" width="16.149999618530273" hidden="0" customWidth="1"/>
    <x:col min="6" max="6" width="16.149999618530273" hidden="0" customWidth="1"/>
  </x:cols>
  <x:sheetData>
    <x:row r="1" ht="22.5" customHeight="1">
      <x:c r="A1" s="3" t="str">
        <x:v>Q2 - Uruguai: forma de Estado e financiamento público</x:v>
      </x:c>
    </x:row>
    <x:row r="2" ht="22.5" customHeight="1">
      <x:c r="A2" s="6" t="str">
        <x:v>Indicadores macro e de presença fiscal no PIB</x:v>
      </x:c>
    </x:row>
    <x:row r="4">
      <x:c r="A4" s="16" t="str">
        <x:v>Ano</x:v>
      </x:c>
      <x:c r="B4" s="16" t="str">
        <x:v>Cresc. PIB real %</x:v>
      </x:c>
      <x:c r="C4" s="16" t="str">
        <x:v>Inflação IPC %</x:v>
      </x:c>
      <x:c r="D4" s="16" t="str">
        <x:v>Desemprego %</x:v>
      </x:c>
      <x:c r="E4" s="16" t="str">
        <x:v>Consumo governo % PIB</x:v>
      </x:c>
      <x:c r="F4" s="16" t="str">
        <x:v>Receita tributária % PIB</x:v>
      </x:c>
    </x:row>
    <x:row r="5">
      <x:c r="A5" s="10" t="n">
        <x:v>2015</x:v>
      </x:c>
      <x:c r="B5" s="10" t="n">
        <x:v>0.370741257681345</x:v>
      </x:c>
      <x:c r="C5" s="10" t="n">
        <x:v>8.66626987079328</x:v>
      </x:c>
      <x:c r="D5" s="10" t="n">
        <x:v>7.488</x:v>
      </x:c>
      <x:c r="E5" s="10" t="n">
        <x:v>13.8358099973704</x:v>
      </x:c>
      <x:c r="F5" s="10" t="n">
        <x:v>17.0956158572883</x:v>
      </x:c>
    </x:row>
    <x:row r="6">
      <x:c r="A6" s="10" t="n">
        <x:v>2016</x:v>
      </x:c>
      <x:c r="B6" s="10" t="n">
        <x:v>1.68979822971775</x:v>
      </x:c>
      <x:c r="C6" s="10" t="n">
        <x:v>9.6394134763508</x:v>
      </x:c>
      <x:c r="D6" s="10" t="n">
        <x:v>7.841</x:v>
      </x:c>
      <x:c r="E6" s="10" t="n">
        <x:v>15.9448322857982</x:v>
      </x:c>
      <x:c r="F6" s="10" t="n">
        <x:v>21.7322482220825</x:v>
      </x:c>
    </x:row>
    <x:row r="7">
      <x:c r="A7" s="10" t="n">
        <x:v>2017</x:v>
      </x:c>
      <x:c r="B7" s="10" t="n">
        <x:v>1.74037643374211</x:v>
      </x:c>
      <x:c r="C7" s="10" t="n">
        <x:v>6.2180938256186</x:v>
      </x:c>
      <x:c r="D7" s="10" t="n">
        <x:v>7.89</x:v>
      </x:c>
      <x:c r="E7" s="10" t="n">
        <x:v>16.4943479737156</x:v>
      </x:c>
      <x:c r="F7" s="10" t="n">
        <x:v>18.0774760237708</x:v>
      </x:c>
    </x:row>
    <x:row r="8">
      <x:c r="A8" s="10" t="n">
        <x:v>2018</x:v>
      </x:c>
      <x:c r="B8" s="10" t="n">
        <x:v>0.164777608940113</x:v>
      </x:c>
      <x:c r="C8" s="10" t="n">
        <x:v>7.60653360377047</x:v>
      </x:c>
      <x:c r="D8" s="10" t="n">
        <x:v>8.336</x:v>
      </x:c>
      <x:c r="E8" s="10" t="n">
        <x:v>16.8898046110751</x:v>
      </x:c>
      <x:c r="F8" s="10" t="n">
        <x:v>18.3247041806937</x:v>
      </x:c>
    </x:row>
    <x:row r="9">
      <x:c r="A9" s="10" t="n">
        <x:v>2019</x:v>
      </x:c>
      <x:c r="B9" s="10" t="n">
        <x:v>0.928351141267498</x:v>
      </x:c>
      <x:c r="C9" s="10" t="n">
        <x:v>7.88198870879619</x:v>
      </x:c>
      <x:c r="D9" s="10" t="n">
        <x:v>8.836</x:v>
      </x:c>
      <x:c r="E9" s="10" t="n">
        <x:v>17.2836793288606</x:v>
      </x:c>
      <x:c r="F9" s="10" t="n">
        <x:v>17.8650944074869</x:v>
      </x:c>
    </x:row>
    <x:row r="10">
      <x:c r="A10" s="10" t="n">
        <x:v>2020</x:v>
      </x:c>
      <x:c r="B10" s="10" t="n">
        <x:v>-7.35732706484723</x:v>
      </x:c>
      <x:c r="C10" s="10" t="n">
        <x:v>9.75640636078194</x:v>
      </x:c>
      <x:c r="D10" s="10" t="n">
        <x:v>10.413</x:v>
      </x:c>
      <x:c r="E10" s="10" t="n">
        <x:v>18.0526209986761</x:v>
      </x:c>
      <x:c r="F10" s="10" t="n">
        <x:v>18.5526476964563</x:v>
      </x:c>
    </x:row>
    <x:row r="11">
      <x:c r="A11" s="10" t="n">
        <x:v>2021</x:v>
      </x:c>
      <x:c r="B11" s="10" t="n">
        <x:v>5.84427312558179</x:v>
      </x:c>
      <x:c r="C11" s="10" t="n">
        <x:v>7.74791402314762</x:v>
      </x:c>
      <x:c r="D11" s="10" t="n">
        <x:v>9.328</x:v>
      </x:c>
      <x:c r="E11" s="10" t="n">
        <x:v>16.8274233316562</x:v>
      </x:c>
      <x:c r="F11" s="10" t="n">
        <x:v>17.8174131082668</x:v>
      </x:c>
    </x:row>
    <x:row r="12">
      <x:c r="A12" s="10" t="n">
        <x:v>2022</x:v>
      </x:c>
      <x:c r="B12" s="10" t="n">
        <x:v>4.48622703072073</x:v>
      </x:c>
      <x:c r="C12" s="10" t="n">
        <x:v>9.10437983075437</x:v>
      </x:c>
      <x:c r="D12" s="10" t="n">
        <x:v>7.877</x:v>
      </x:c>
      <x:c r="E12" s="10" t="n">
        <x:v>16.3519256045241</x:v>
      </x:c>
      <x:c r="F12" s="10" t="n">
        <x:v>18.5974753264661</x:v>
      </x:c>
    </x:row>
    <x:row r="13">
      <x:c r="A13" s="10" t="n">
        <x:v>2023</x:v>
      </x:c>
      <x:c r="B13" s="10" t="n">
        <x:v>0.742128785315927</x:v>
      </x:c>
      <x:c r="C13" s="10" t="n">
        <x:v>5.86910359896119</x:v>
      </x:c>
      <x:c r="D13" s="10" t="n">
        <x:v>8.355</x:v>
      </x:c>
      <x:c r="E13" s="10" t="n">
        <x:v>16.9963640196447</x:v>
      </x:c>
      <x:c r="F13" s="10" t="n">
        <x:v>18.6579991588292</x:v>
      </x:c>
    </x:row>
    <x:row r="14">
      <x:c r="A14" s="10" t="n">
        <x:v>2024</x:v>
      </x:c>
      <x:c r="B14" s="10" t="n">
        <x:v>3.10825478066172</x:v>
      </x:c>
      <x:c r="C14" s="10" t="n">
        <x:v>4.84914366613156</x:v>
      </x:c>
      <x:c r="D14" s="10" t="n">
        <x:v>8.209</x:v>
      </x:c>
      <x:c r="E14" s="10" t="n">
        <x:v>17.167989034341</x:v>
      </x:c>
      <x:c r="F14" s="10" t="n">
        <x:v>18.1623555712757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12b050afc4045d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</x:cols>
  <x:sheetData>
    <x:row r="1" ht="22.5" customHeight="1">
      <x:c r="A1" s="3" t="str">
        <x:v>Q3 - Composição da receita municipal</x:v>
      </x:c>
    </x:row>
    <x:row r="2" ht="22.5" customHeight="1">
      <x:c r="A2" s="6" t="str">
        <x:v>Participação de receita tributária, transferências e outras receitas</x:v>
      </x:c>
    </x:row>
    <x:row r="4">
      <x:c r="A4" s="16" t="str">
        <x:v>Ano</x:v>
      </x:c>
      <x:c r="B4" s="16" t="str">
        <x:v>Tributária %</x:v>
      </x:c>
      <x:c r="C4" s="16" t="str">
        <x:v>Transferências %</x:v>
      </x:c>
      <x:c r="D4" s="16" t="str">
        <x:v>Outras %</x:v>
      </x:c>
    </x:row>
    <x:row r="5">
      <x:c r="A5" s="10" t="n">
        <x:v>2015</x:v>
      </x:c>
      <x:c r="B5" s="18" t="n">
        <x:v>33.64846540683942</x:v>
      </x:c>
      <x:c r="C5" s="18" t="n">
        <x:v>48.029931230647975</x:v>
      </x:c>
      <x:c r="D5" s="18" t="n">
        <x:v>18.32160336251261</x:v>
      </x:c>
    </x:row>
    <x:row r="6">
      <x:c r="A6" s="10" t="n">
        <x:v>2016</x:v>
      </x:c>
      <x:c r="B6" s="18" t="n">
        <x:v>28.601252537910604</x:v>
      </x:c>
      <x:c r="C6" s="18" t="n">
        <x:v>39.986099155762886</x:v>
      </x:c>
      <x:c r="D6" s="18" t="n">
        <x:v>31.412648306326517</x:v>
      </x:c>
    </x:row>
    <x:row r="7">
      <x:c r="A7" s="10" t="n">
        <x:v>2017</x:v>
      </x:c>
      <x:c r="B7" s="18" t="n">
        <x:v>31.02194537292886</x:v>
      </x:c>
      <x:c r="C7" s="18" t="n">
        <x:v>42.69993995354193</x:v>
      </x:c>
      <x:c r="D7" s="18" t="n">
        <x:v>26.278114673529206</x:v>
      </x:c>
    </x:row>
    <x:row r="8">
      <x:c r="A8" s="10" t="n">
        <x:v>2018</x:v>
      </x:c>
      <x:c r="B8" s="18" t="n">
        <x:v>37.75788838426619</x:v>
      </x:c>
      <x:c r="C8" s="18" t="n">
        <x:v>44.35421308672926</x:v>
      </x:c>
      <x:c r="D8" s="18" t="n">
        <x:v>17.88789852900456</x:v>
      </x:c>
    </x:row>
    <x:row r="9">
      <x:c r="A9" s="10" t="n">
        <x:v>2019</x:v>
      </x:c>
      <x:c r="B9" s="18" t="n">
        <x:v>40.58769657743409</x:v>
      </x:c>
      <x:c r="C9" s="18" t="n">
        <x:v>44.976491293795284</x:v>
      </x:c>
      <x:c r="D9" s="18" t="n">
        <x:v>14.435812128770614</x:v>
      </x:c>
    </x:row>
    <x:row r="10">
      <x:c r="A10" s="10" t="n">
        <x:v>2020</x:v>
      </x:c>
      <x:c r="B10" s="18" t="n">
        <x:v>38.435410924689734</x:v>
      </x:c>
      <x:c r="C10" s="18" t="n">
        <x:v>47.70335512409849</x:v>
      </x:c>
      <x:c r="D10" s="18" t="n">
        <x:v>13.861233951211775</x:v>
      </x:c>
    </x:row>
    <x:row r="11">
      <x:c r="A11" s="10" t="n">
        <x:v>2021</x:v>
      </x:c>
      <x:c r="B11" s="18" t="n">
        <x:v>38.02531518606868</x:v>
      </x:c>
      <x:c r="C11" s="18" t="n">
        <x:v>48.860481048096396</x:v>
      </x:c>
      <x:c r="D11" s="18" t="n">
        <x:v>13.114203765834908</x:v>
      </x:c>
    </x:row>
    <x:row r="12">
      <x:c r="A12" s="10" t="n">
        <x:v>2022</x:v>
      </x:c>
      <x:c r="B12" s="18" t="n">
        <x:v>39.19007422472333</x:v>
      </x:c>
      <x:c r="C12" s="18" t="n">
        <x:v>48.41989217621882</x:v>
      </x:c>
      <x:c r="D12" s="18" t="n">
        <x:v>12.390033599057846</x:v>
      </x:c>
    </x:row>
    <x:row r="13">
      <x:c r="A13" s="10" t="n">
        <x:v>2023</x:v>
      </x:c>
      <x:c r="B13" s="18" t="n">
        <x:v>40.100264465284816</x:v>
      </x:c>
      <x:c r="C13" s="18" t="n">
        <x:v>46.58735121861455</x:v>
      </x:c>
      <x:c r="D13" s="18" t="n">
        <x:v>13.312384316100623</x:v>
      </x:c>
    </x:row>
    <x:row r="14">
      <x:c r="A14" s="10" t="n">
        <x:v>2024</x:v>
      </x:c>
      <x:c r="B14" s="18" t="n">
        <x:v>38.572739509676495</x:v>
      </x:c>
      <x:c r="C14" s="18" t="n">
        <x:v>47.694652408268226</x:v>
      </x:c>
      <x:c r="D14" s="18" t="n">
        <x:v>13.73260808205529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c2d1fb6905e4e4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</x:cols>
  <x:sheetData>
    <x:row r="1" ht="22.5" customHeight="1">
      <x:c r="A1" s="3" t="str">
        <x:v>Q4 - Receita e despesa em valores reais</x:v>
      </x:c>
    </x:row>
    <x:row r="2" ht="22.5" customHeight="1">
      <x:c r="A2" s="6" t="str">
        <x:v>Soma dos dois municípios, em R$ bilhões de 2024</x:v>
      </x:c>
    </x:row>
    <x:row r="4">
      <x:c r="A4" s="16" t="str">
        <x:v>Ano</x:v>
      </x:c>
      <x:c r="B4" s="16" t="str">
        <x:v>Receita real (R$ bi)</x:v>
      </x:c>
      <x:c r="C4" s="16" t="str">
        <x:v>Despesa real (R$ bi)</x:v>
      </x:c>
      <x:c r="D4" s="16" t="str">
        <x:v>Resultado (R$ bi)</x:v>
      </x:c>
    </x:row>
    <x:row r="5">
      <x:c r="A5" s="10" t="n">
        <x:v>2015</x:v>
      </x:c>
      <x:c r="B5" s="13" t="n">
        <x:v>7.316069427255821</x:v>
      </x:c>
      <x:c r="C5" s="13" t="n">
        <x:v>6.960624297780376</x:v>
      </x:c>
      <x:c r="D5" s="13" t="n">
        <x:v>0.3554451294754448</x:v>
      </x:c>
    </x:row>
    <x:row r="6">
      <x:c r="A6" s="10" t="n">
        <x:v>2016</x:v>
      </x:c>
      <x:c r="B6" s="13" t="n">
        <x:v>8.305865624637377</x:v>
      </x:c>
      <x:c r="C6" s="13" t="n">
        <x:v>7.657355141519764</x:v>
      </x:c>
      <x:c r="D6" s="13" t="n">
        <x:v>0.6485104831176128</x:v>
      </x:c>
    </x:row>
    <x:row r="7">
      <x:c r="A7" s="10" t="n">
        <x:v>2017</x:v>
      </x:c>
      <x:c r="B7" s="13" t="n">
        <x:v>7.937122125138107</x:v>
      </x:c>
      <x:c r="C7" s="13" t="n">
        <x:v>7.118953310345237</x:v>
      </x:c>
      <x:c r="D7" s="13" t="n">
        <x:v>0.8181688147928705</x:v>
      </x:c>
    </x:row>
    <x:row r="8">
      <x:c r="A8" s="10" t="n">
        <x:v>2018</x:v>
      </x:c>
      <x:c r="B8" s="13" t="n">
        <x:v>7.900635026996532</x:v>
      </x:c>
      <x:c r="C8" s="13" t="n">
        <x:v>7.586176119049539</x:v>
      </x:c>
      <x:c r="D8" s="13" t="n">
        <x:v>0.3144589079469929</x:v>
      </x:c>
    </x:row>
    <x:row r="9">
      <x:c r="A9" s="10" t="n">
        <x:v>2019</x:v>
      </x:c>
      <x:c r="B9" s="13" t="n">
        <x:v>8.044348938872865</x:v>
      </x:c>
      <x:c r="C9" s="13" t="n">
        <x:v>8.346783698657127</x:v>
      </x:c>
      <x:c r="D9" s="13" t="n">
        <x:v>-0.3024347597842617</x:v>
      </x:c>
    </x:row>
    <x:row r="10">
      <x:c r="A10" s="10" t="n">
        <x:v>2020</x:v>
      </x:c>
      <x:c r="B10" s="13" t="n">
        <x:v>8.058464551273774</x:v>
      </x:c>
      <x:c r="C10" s="13" t="n">
        <x:v>8.250765908850115</x:v>
      </x:c>
      <x:c r="D10" s="13" t="n">
        <x:v>-0.19230135757634162</x:v>
      </x:c>
    </x:row>
    <x:row r="11">
      <x:c r="A11" s="10" t="n">
        <x:v>2021</x:v>
      </x:c>
      <x:c r="B11" s="13" t="n">
        <x:v>8.095650197689926</x:v>
      </x:c>
      <x:c r="C11" s="13" t="n">
        <x:v>8.038091249781557</x:v>
      </x:c>
      <x:c r="D11" s="13" t="n">
        <x:v>0.05755894790836907</x:v>
      </x:c>
    </x:row>
    <x:row r="12">
      <x:c r="A12" s="10" t="n">
        <x:v>2022</x:v>
      </x:c>
      <x:c r="B12" s="13" t="n">
        <x:v>8.732562886094893</x:v>
      </x:c>
      <x:c r="C12" s="13" t="n">
        <x:v>8.694923870344944</x:v>
      </x:c>
      <x:c r="D12" s="13" t="n">
        <x:v>0.037639015749948504</x:v>
      </x:c>
    </x:row>
    <x:row r="13">
      <x:c r="A13" s="10" t="n">
        <x:v>2023</x:v>
      </x:c>
      <x:c r="B13" s="13" t="n">
        <x:v>9.009235685354625</x:v>
      </x:c>
      <x:c r="C13" s="13" t="n">
        <x:v>9.525721663074245</x:v>
      </x:c>
      <x:c r="D13" s="13" t="n">
        <x:v>-0.5164859777196198</x:v>
      </x:c>
    </x:row>
    <x:row r="14">
      <x:c r="A14" s="10" t="n">
        <x:v>2024</x:v>
      </x:c>
      <x:c r="B14" s="13" t="n">
        <x:v>9.994779447419997</x:v>
      </x:c>
      <x:c r="C14" s="13" t="n">
        <x:v>10.05929131274</x:v>
      </x:c>
      <x:c r="D14" s="13" t="n">
        <x:v>-0.0645118653200016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66d78308786412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20.860000610351562" hidden="0" customWidth="1"/>
    <x:col min="3" max="3" width="20.860000610351562" hidden="0" customWidth="1"/>
    <x:col min="4" max="4" width="20.860000610351562" hidden="0" customWidth="1"/>
  </x:cols>
  <x:sheetData>
    <x:row r="1" ht="22.5" customHeight="1">
      <x:c r="A1" s="3" t="str">
        <x:v>Q5 - Gasto em educação e IDEB</x:v>
      </x:c>
    </x:row>
    <x:row r="2" ht="22.5" customHeight="1">
      <x:c r="A2" s="6" t="str">
        <x:v>Dispersão: gasto em educação per capita x IDEB</x:v>
      </x:c>
    </x:row>
    <x:row r="4">
      <x:c r="A4" s="16" t="str">
        <x:v>Gasto educação pc</x:v>
      </x:c>
      <x:c r="B4" s="16" t="str">
        <x:v>IDEB</x:v>
      </x:c>
      <x:c r="C4" s="16" t="str">
        <x:v>Ajustado</x:v>
      </x:c>
      <x:c r="D4" s="16" t="str">
        <x:v>Obs.</x:v>
      </x:c>
    </x:row>
    <x:row r="5">
      <x:c r="A5" s="12" t="n">
        <x:v>1916.9740844248329</x:v>
      </x:c>
      <x:c r="B5" s="18" t="n">
        <x:v>6.1</x:v>
      </x:c>
      <x:c r="C5" s="18" t="n">
        <x:v>5.820650718730457</x:v>
      </x:c>
      <x:c r="D5" s="10" t="str">
        <x:v>Santos 2015</x:v>
      </x:c>
    </x:row>
    <x:row r="6">
      <x:c r="A6" s="12" t="n">
        <x:v>1835.4829638304038</x:v>
      </x:c>
      <x:c r="B6" s="18" t="n">
        <x:v>6</x:v>
      </x:c>
      <x:c r="C6" s="18" t="n">
        <x:v>5.921473006141178</x:v>
      </x:c>
      <x:c r="D6" s="10" t="str">
        <x:v>Santos 2017</x:v>
      </x:c>
    </x:row>
    <x:row r="7">
      <x:c r="A7" s="12" t="n">
        <x:v>1645.5572587306563</x:v>
      </x:c>
      <x:c r="B7" s="18" t="n">
        <x:v>5.8</x:v>
      </x:c>
      <x:c r="C7" s="18" t="n">
        <x:v>6.156452521535886</x:v>
      </x:c>
      <x:c r="D7" s="10" t="str">
        <x:v>Santos 2019</x:v>
      </x:c>
    </x:row>
    <x:row r="8">
      <x:c r="A8" s="12" t="n">
        <x:v>1414.683378482353</x:v>
      </x:c>
      <x:c r="B8" s="18" t="n">
        <x:v>5.9</x:v>
      </x:c>
      <x:c r="C8" s="18" t="n">
        <x:v>6.442093859392445</x:v>
      </x:c>
      <x:c r="D8" s="10" t="str">
        <x:v>Santos 2021</x:v>
      </x:c>
    </x:row>
    <x:row r="9">
      <x:c r="A9" s="12" t="n">
        <x:v>1239.6062321980269</x:v>
      </x:c>
      <x:c r="B9" s="18" t="n">
        <x:v>6.6</x:v>
      </x:c>
      <x:c r="C9" s="18" t="n">
        <x:v>6.6587024694222094</x:v>
      </x:c>
      <x:c r="D9" s="10" t="str">
        <x:v>São José dos Campos 2015</x:v>
      </x:c>
    </x:row>
    <x:row r="10">
      <x:c r="A10" s="12" t="n">
        <x:v>1183.6020329581745</x:v>
      </x:c>
      <x:c r="B10" s="18" t="n">
        <x:v>6.9</x:v>
      </x:c>
      <x:c r="C10" s="18" t="n">
        <x:v>6.727991877038402</x:v>
      </x:c>
      <x:c r="D10" s="10" t="str">
        <x:v>São José dos Campos 2017</x:v>
      </x:c>
    </x:row>
    <x:row r="11">
      <x:c r="A11" s="12" t="n">
        <x:v>1273.8660139749754</x:v>
      </x:c>
      <x:c r="B11" s="18" t="n">
        <x:v>7</x:v>
      </x:c>
      <x:c r="C11" s="18" t="n">
        <x:v>6.616315648137288</x:v>
      </x:c>
      <x:c r="D11" s="10" t="str">
        <x:v>São José dos Campos 2019</x:v>
      </x:c>
    </x:row>
    <x:row r="12">
      <x:c r="A12" s="12" t="n">
        <x:v>1241.5319798627588</x:v>
      </x:c>
      <x:c r="B12" s="18" t="n">
        <x:v>6.7</x:v>
      </x:c>
      <x:c r="C12" s="18" t="n">
        <x:v>6.656319899602114</x:v>
      </x:c>
      <x:c r="D12" s="10" t="str">
        <x:v>São José dos Campos 2021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f4955ddfec943e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20.860000610351562" hidden="0" customWidth="1"/>
    <x:col min="3" max="3" width="20.860000610351562" hidden="0" customWidth="1"/>
  </x:cols>
  <x:sheetData>
    <x:row r="1" ht="22.5" customHeight="1">
      <x:c r="A1" s="3" t="str">
        <x:v>Q6 - Curva de Laffer empírica</x:v>
      </x:c>
    </x:row>
    <x:row r="2" ht="22.5" customHeight="1">
      <x:c r="A2" s="6" t="str">
        <x:v>Receita tributária real vs proxy de carga tributária municipal</x:v>
      </x:c>
    </x:row>
    <x:row r="4">
      <x:c r="A4" s="16" t="str">
        <x:v>Proxy carga tributária %</x:v>
      </x:c>
      <x:c r="B4" s="16" t="str">
        <x:v>Receita trib. real (R$ bi)</x:v>
      </x:c>
      <x:c r="C4" s="16" t="str">
        <x:v>Ajuste quadrático (R$ bi)</x:v>
      </x:c>
    </x:row>
    <x:row r="5">
      <x:c r="A5" s="13" t="n">
        <x:v>4.943150267858435</x:v>
      </x:c>
      <x:c r="B5" s="13" t="n">
        <x:v>1.5662074631709306</x:v>
      </x:c>
      <x:c r="C5" s="13"/>
    </x:row>
    <x:row r="6">
      <x:c r="A6" s="13" t="n">
        <x:v>4.609511102768074</x:v>
      </x:c>
      <x:c r="B6" s="13" t="n">
        <x:v>1.4877421689144439</x:v>
      </x:c>
      <x:c r="C6" s="13"/>
    </x:row>
    <x:row r="7">
      <x:c r="A7" s="13" t="n">
        <x:v>4.720512029045216</x:v>
      </x:c>
      <x:c r="B7" s="13" t="n">
        <x:v>1.5278234841154041</x:v>
      </x:c>
      <x:c r="C7" s="13"/>
    </x:row>
    <x:row r="8">
      <x:c r="A8" s="13" t="n">
        <x:v>6.149156274850312</x:v>
      </x:c>
      <x:c r="B8" s="13" t="n">
        <x:v>1.9237532534891455</x:v>
      </x:c>
      <x:c r="C8" s="13"/>
    </x:row>
    <x:row r="9">
      <x:c r="A9" s="13" t="n">
        <x:v>7.02559388680838</x:v>
      </x:c>
      <x:c r="B9" s="13" t="n">
        <x:v>2.133203238876311</x:v>
      </x:c>
      <x:c r="C9" s="13"/>
    </x:row>
    <x:row r="10">
      <x:c r="A10" s="13" t="n">
        <x:v>6.913999783430756</x:v>
      </x:c>
      <x:c r="B10" s="13" t="n">
        <x:v>1.9824621679757948</x:v>
      </x:c>
      <x:c r="C10" s="13"/>
    </x:row>
    <x:row r="11">
      <x:c r="A11" s="13" t="n">
        <x:v>7.025249027808974</x:v>
      </x:c>
      <x:c r="B11" s="13" t="n">
        <x:v>1.9635244496980806</x:v>
      </x:c>
      <x:c r="C11" s="13"/>
    </x:row>
    <x:row r="12">
      <x:c r="A12" s="13" t="n">
        <x:v>7.38131003134508</x:v>
      </x:c>
      <x:c r="B12" s="13" t="n">
        <x:v>2.2271412704671585</x:v>
      </x:c>
      <x:c r="C12" s="13"/>
    </x:row>
    <x:row r="13">
      <x:c r="A13" s="13" t="n">
        <x:v>7.1742342474019045</x:v>
      </x:c>
      <x:c r="B13" s="13" t="n">
        <x:v>2.3285799156245313</x:v>
      </x:c>
      <x:c r="C13" s="13"/>
    </x:row>
    <x:row r="14">
      <x:c r="A14" s="13" t="n">
        <x:v>1.672172327091757</x:v>
      </x:c>
      <x:c r="B14" s="13" t="n">
        <x:v>0.8955376271995985</x:v>
      </x:c>
      <x:c r="C14" s="13"/>
    </x:row>
    <x:row r="15">
      <x:c r="A15" s="13" t="n">
        <x:v>1.4344109448268174</x:v>
      </x:c>
      <x:c r="B15" s="13" t="n">
        <x:v>0.8878394338475983</x:v>
      </x:c>
      <x:c r="C15" s="13"/>
    </x:row>
    <x:row r="16">
      <x:c r="A16" s="13" t="n">
        <x:v>1.642297281872657</x:v>
      </x:c>
      <x:c r="B16" s="13" t="n">
        <x:v>0.9344262057275895</x:v>
      </x:c>
      <x:c r="C16" s="13"/>
    </x:row>
    <x:row r="17">
      <x:c r="A17" s="13" t="n">
        <x:v>1.9170915469438516</x:v>
      </x:c>
      <x:c r="B17" s="13" t="n">
        <x:v>1.0593597016524439</x:v>
      </x:c>
      <x:c r="C17" s="13"/>
    </x:row>
    <x:row r="18">
      <x:c r="A18" s="13" t="n">
        <x:v>1.94673604113467</x:v>
      </x:c>
      <x:c r="B18" s="13" t="n">
        <x:v>1.1318127000634464</x:v>
      </x:c>
      <x:c r="C18" s="13"/>
    </x:row>
    <x:row r="19">
      <x:c r="A19" s="13" t="n">
        <x:v>2.2179357021536243</x:v>
      </x:c>
      <x:c r="B19" s="13" t="n">
        <x:v>1.1148417965267345</x:v>
      </x:c>
      <x:c r="C19" s="13"/>
    </x:row>
    <x:row r="20">
      <x:c r="A20" s="13" t="n">
        <x:v>2.1255303082753256</x:v>
      </x:c>
      <x:c r="B20" s="13" t="n">
        <x:v>1.1148720543351067</x:v>
      </x:c>
      <x:c r="C20" s="13"/>
    </x:row>
    <x:row r="21">
      <x:c r="A21" s="13" t="n">
        <x:v>1.9234867455180524</x:v>
      </x:c>
      <x:c r="B21" s="13" t="n">
        <x:v>1.1951566063140722</x:v>
      </x:c>
      <x:c r="C21" s="13"/>
    </x:row>
    <x:row r="22">
      <x:c r="A22" s="13" t="n">
        <x:v>1.995237981371107</x:v>
      </x:c>
      <x:c r="B22" s="13" t="n">
        <x:v>1.2841474205034886</x:v>
      </x:c>
      <x:c r="C22" s="13"/>
    </x:row>
    <x:row r="23">
      <x:c r="A23" s="13" t="n">
        <x:v>1.4344109448268174</x:v>
      </x:c>
      <x:c r="B23" s="13"/>
      <x:c r="C23" s="13" t="n">
        <x:v>1.0017055871532314</x:v>
      </x:c>
    </x:row>
    <x:row r="24">
      <x:c r="A24" s="13" t="n">
        <x:v>1.6821984067650786</x:v>
      </x:c>
      <x:c r="B24" s="13"/>
      <x:c r="C24" s="13" t="n">
        <x:v>1.033632134698577</x:v>
      </x:c>
    </x:row>
    <x:row r="25">
      <x:c r="A25" s="13" t="n">
        <x:v>1.9299858687033395</x:v>
      </x:c>
      <x:c r="B25" s="13"/>
      <x:c r="C25" s="13" t="n">
        <x:v>1.0671448704128932</x:v>
      </x:c>
    </x:row>
    <x:row r="26">
      <x:c r="A26" s="13" t="n">
        <x:v>2.1777733306416005</x:v>
      </x:c>
      <x:c r="B26" s="13"/>
      <x:c r="C26" s="13" t="n">
        <x:v>1.1022437942961796</x:v>
      </x:c>
    </x:row>
    <x:row r="27">
      <x:c r="A27" s="13" t="n">
        <x:v>2.4255607925798612</x:v>
      </x:c>
      <x:c r="B27" s="13"/>
      <x:c r="C27" s="13" t="n">
        <x:v>1.138928906348437</x:v>
      </x:c>
    </x:row>
    <x:row r="28">
      <x:c r="A28" s="13" t="n">
        <x:v>2.6733482545181224</x:v>
      </x:c>
      <x:c r="B28" s="13"/>
      <x:c r="C28" s="13" t="n">
        <x:v>1.1772002065696643</x:v>
      </x:c>
    </x:row>
    <x:row r="29">
      <x:c r="A29" s="13" t="n">
        <x:v>2.921135716456383</x:v>
      </x:c>
      <x:c r="B29" s="13"/>
      <x:c r="C29" s="13" t="n">
        <x:v>1.217057694959862</x:v>
      </x:c>
    </x:row>
    <x:row r="30">
      <x:c r="A30" s="13" t="n">
        <x:v>3.168923178394644</x:v>
      </x:c>
      <x:c r="B30" s="13"/>
      <x:c r="C30" s="13" t="n">
        <x:v>1.2585013715190305</x:v>
      </x:c>
    </x:row>
    <x:row r="31">
      <x:c r="A31" s="13" t="n">
        <x:v>3.4167106403329055</x:v>
      </x:c>
      <x:c r="B31" s="13"/>
      <x:c r="C31" s="13" t="n">
        <x:v>1.3015312362471696</x:v>
      </x:c>
    </x:row>
    <x:row r="32">
      <x:c r="A32" s="13" t="n">
        <x:v>3.664498102271166</x:v>
      </x:c>
      <x:c r="B32" s="13"/>
      <x:c r="C32" s="13" t="n">
        <x:v>1.3461472891442787</x:v>
      </x:c>
    </x:row>
    <x:row r="33">
      <x:c r="A33" s="13" t="n">
        <x:v>3.912285564209427</x:v>
      </x:c>
      <x:c r="B33" s="13"/>
      <x:c r="C33" s="13" t="n">
        <x:v>1.3923495302103588</x:v>
      </x:c>
    </x:row>
    <x:row r="34">
      <x:c r="A34" s="13" t="n">
        <x:v>4.160073026147688</x:v>
      </x:c>
      <x:c r="B34" s="13"/>
      <x:c r="C34" s="13" t="n">
        <x:v>1.4401379594454091</x:v>
      </x:c>
    </x:row>
    <x:row r="35">
      <x:c r="A35" s="13" t="n">
        <x:v>4.407860488085949</x:v>
      </x:c>
      <x:c r="B35" s="13"/>
      <x:c r="C35" s="13" t="n">
        <x:v>1.4895125768494302</x:v>
      </x:c>
    </x:row>
    <x:row r="36">
      <x:c r="A36" s="13" t="n">
        <x:v>4.65564795002421</x:v>
      </x:c>
      <x:c r="B36" s="13"/>
      <x:c r="C36" s="13" t="n">
        <x:v>1.5404733824224213</x:v>
      </x:c>
    </x:row>
    <x:row r="37">
      <x:c r="A37" s="13" t="n">
        <x:v>4.90343541196247</x:v>
      </x:c>
      <x:c r="B37" s="13"/>
      <x:c r="C37" s="13" t="n">
        <x:v>1.5930203761643829</x:v>
      </x:c>
    </x:row>
    <x:row r="38">
      <x:c r="A38" s="13" t="n">
        <x:v>5.151222873900731</x:v>
      </x:c>
      <x:c r="B38" s="13"/>
      <x:c r="C38" s="13" t="n">
        <x:v>1.6471535580753152</x:v>
      </x:c>
    </x:row>
    <x:row r="39">
      <x:c r="A39" s="13" t="n">
        <x:v>5.399010335838993</x:v>
      </x:c>
      <x:c r="B39" s="13"/>
      <x:c r="C39" s="13" t="n">
        <x:v>1.7028729281552182</x:v>
      </x:c>
    </x:row>
    <x:row r="40">
      <x:c r="A40" s="13" t="n">
        <x:v>5.646797797777253</x:v>
      </x:c>
      <x:c r="B40" s="13"/>
      <x:c r="C40" s="13" t="n">
        <x:v>1.7601784864040915</x:v>
      </x:c>
    </x:row>
    <x:row r="41">
      <x:c r="A41" s="13" t="n">
        <x:v>5.894585259715514</x:v>
      </x:c>
      <x:c r="B41" s="13"/>
      <x:c r="C41" s="13" t="n">
        <x:v>1.819070232821935</x:v>
      </x:c>
    </x:row>
    <x:row r="42">
      <x:c r="A42" s="13" t="n">
        <x:v>6.142372721653775</x:v>
      </x:c>
      <x:c r="B42" s="13"/>
      <x:c r="C42" s="13" t="n">
        <x:v>1.879548167408749</x:v>
      </x:c>
    </x:row>
    <x:row r="43">
      <x:c r="A43" s="13" t="n">
        <x:v>6.3901601835920365</x:v>
      </x:c>
      <x:c r="B43" s="13"/>
      <x:c r="C43" s="13" t="n">
        <x:v>1.9416122901645338</x:v>
      </x:c>
    </x:row>
    <x:row r="44">
      <x:c r="A44" s="13" t="n">
        <x:v>6.637947645530297</x:v>
      </x:c>
      <x:c r="B44" s="13"/>
      <x:c r="C44" s="13" t="n">
        <x:v>2.0052626010892887</x:v>
      </x:c>
    </x:row>
    <x:row r="45">
      <x:c r="A45" s="13" t="n">
        <x:v>6.885735107468559</x:v>
      </x:c>
      <x:c r="B45" s="13"/>
      <x:c r="C45" s="13" t="n">
        <x:v>2.070499100183015</x:v>
      </x:c>
    </x:row>
    <x:row r="46">
      <x:c r="A46" s="13" t="n">
        <x:v>7.13352256940682</x:v>
      </x:c>
      <x:c r="B46" s="13"/>
      <x:c r="C46" s="13" t="n">
        <x:v>2.1373217874457104</x:v>
      </x:c>
    </x:row>
    <x:row r="47">
      <x:c r="A47" s="13" t="n">
        <x:v>7.38131003134508</x:v>
      </x:c>
      <x:c r="B47" s="13"/>
      <x:c r="C47" s="13" t="n">
        <x:v>2.2057306628773774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361e9a62937498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20.860000610351562" hidden="0" customWidth="1"/>
    <x:col min="3" max="3" width="20.860000610351562" hidden="0" customWidth="1"/>
    <x:col min="4" max="4" width="20.860000610351562" hidden="0" customWidth="1"/>
  </x:cols>
  <x:sheetData>
    <x:row r="1" ht="22.5" customHeight="1">
      <x:c r="A1" s="3" t="str">
        <x:v>Q7 - Regressão Receita = β0 + β1 PIB + ε</x:v>
      </x:c>
    </x:row>
    <x:row r="2" ht="22.5" customHeight="1">
      <x:c r="A2" s="6" t="str">
        <x:v>Dispersão em R$ bilhões de 2024, 2015-2023</x:v>
      </x:c>
    </x:row>
    <x:row r="4">
      <x:c r="A4" s="16" t="str">
        <x:v>PIB real (R$ bi)</x:v>
      </x:c>
      <x:c r="B4" s="16" t="str">
        <x:v>Receita real (R$ bi)</x:v>
      </x:c>
      <x:c r="C4" s="16" t="str">
        <x:v>Receita ajustada (R$ bi)</x:v>
      </x:c>
      <x:c r="D4" s="16" t="str">
        <x:v>Obs.</x:v>
      </x:c>
    </x:row>
    <x:row r="5">
      <x:c r="A5" s="13" t="n">
        <x:v>31.68439918476265</x:v>
      </x:c>
      <x:c r="B5" s="13" t="n">
        <x:v>3.2136163453696356</x:v>
      </x:c>
      <x:c r="C5" s="13"/>
      <x:c r="D5" s="10" t="str">
        <x:v>Santos 2015</x:v>
      </x:c>
    </x:row>
    <x:row r="6">
      <x:c r="A6" s="13" t="n">
        <x:v>32.2754872641707</x:v>
      </x:c>
      <x:c r="B6" s="13" t="n">
        <x:v>3.7754756748384835</x:v>
      </x:c>
      <x:c r="C6" s="13"/>
      <x:c r="D6" s="10" t="str">
        <x:v>Santos 2016</x:v>
      </x:c>
    </x:row>
    <x:row r="7">
      <x:c r="A7" s="13" t="n">
        <x:v>32.36563056538648</x:v>
      </x:c>
      <x:c r="B7" s="13" t="n">
        <x:v>3.812708622820723</x:v>
      </x:c>
      <x:c r="C7" s="13"/>
      <x:c r="D7" s="10" t="str">
        <x:v>Santos 2017</x:v>
      </x:c>
    </x:row>
    <x:row r="8">
      <x:c r="A8" s="13" t="n">
        <x:v>31.2848327071664</x:v>
      </x:c>
      <x:c r="B8" s="13" t="n">
        <x:v>4.036019628119022</x:v>
      </x:c>
      <x:c r="C8" s="13"/>
      <x:c r="D8" s="10" t="str">
        <x:v>Santos 2018</x:v>
      </x:c>
    </x:row>
    <x:row r="9">
      <x:c r="A9" s="13" t="n">
        <x:v>30.36331551816174</x:v>
      </x:c>
      <x:c r="B9" s="13" t="n">
        <x:v>4.020536293552639</x:v>
      </x:c>
      <x:c r="C9" s="13"/>
      <x:c r="D9" s="10" t="str">
        <x:v>Santos 2019</x:v>
      </x:c>
    </x:row>
    <x:row r="10">
      <x:c r="A10" s="13" t="n">
        <x:v>28.673159243173835</x:v>
      </x:c>
      <x:c r="B10" s="13" t="n">
        <x:v>3.912521413660319</x:v>
      </x:c>
      <x:c r="C10" s="13"/>
      <x:c r="D10" s="10" t="str">
        <x:v>Santos 2020</x:v>
      </x:c>
    </x:row>
    <x:row r="11">
      <x:c r="A11" s="13" t="n">
        <x:v>27.94953519691048</x:v>
      </x:c>
      <x:c r="B11" s="13" t="n">
        <x:v>3.843316799277781</x:v>
      </x:c>
      <x:c r="C11" s="13"/>
      <x:c r="D11" s="10" t="str">
        <x:v>Santos 2021</x:v>
      </x:c>
    </x:row>
    <x:row r="12">
      <x:c r="A12" s="13" t="n">
        <x:v>30.172710006888998</x:v>
      </x:c>
      <x:c r="B12" s="13" t="n">
        <x:v>4.240324050172411</x:v>
      </x:c>
      <x:c r="C12" s="13"/>
      <x:c r="D12" s="10" t="str">
        <x:v>Santos 2022</x:v>
      </x:c>
    </x:row>
    <x:row r="13">
      <x:c r="A13" s="13" t="n">
        <x:v>32.457539513263164</x:v>
      </x:c>
      <x:c r="B13" s="13" t="n">
        <x:v>4.538074518388787</x:v>
      </x:c>
      <x:c r="C13" s="13"/>
      <x:c r="D13" s="10" t="str">
        <x:v>Santos 2023</x:v>
      </x:c>
    </x:row>
    <x:row r="14">
      <x:c r="A14" s="13" t="n">
        <x:v>53.555343112101255</x:v>
      </x:c>
      <x:c r="B14" s="13" t="n">
        <x:v>4.102453081886185</x:v>
      </x:c>
      <x:c r="C14" s="13"/>
      <x:c r="D14" s="10" t="str">
        <x:v>São José dos Campos 2015</x:v>
      </x:c>
    </x:row>
    <x:row r="15">
      <x:c r="A15" s="13" t="n">
        <x:v>61.89575149642984</x:v>
      </x:c>
      <x:c r="B15" s="13" t="n">
        <x:v>4.530389949798894</x:v>
      </x:c>
      <x:c r="C15" s="13"/>
      <x:c r="D15" s="10" t="str">
        <x:v>São José dos Campos 2016</x:v>
      </x:c>
    </x:row>
    <x:row r="16">
      <x:c r="A16" s="13" t="n">
        <x:v>56.89750668417927</x:v>
      </x:c>
      <x:c r="B16" s="13" t="n">
        <x:v>4.124413502317385</x:v>
      </x:c>
      <x:c r="C16" s="13"/>
      <x:c r="D16" s="10" t="str">
        <x:v>São José dos Campos 2017</x:v>
      </x:c>
    </x:row>
    <x:row r="17">
      <x:c r="A17" s="13" t="n">
        <x:v>55.25869139328434</x:v>
      </x:c>
      <x:c r="B17" s="13" t="n">
        <x:v>3.8646153988775103</x:v>
      </x:c>
      <x:c r="C17" s="13"/>
      <x:c r="D17" s="10" t="str">
        <x:v>São José dos Campos 2018</x:v>
      </x:c>
    </x:row>
    <x:row r="18">
      <x:c r="A18" s="13" t="n">
        <x:v>58.13899142709459</x:v>
      </x:c>
      <x:c r="B18" s="13" t="n">
        <x:v>4.023812645320226</x:v>
      </x:c>
      <x:c r="C18" s="13"/>
      <x:c r="D18" s="10" t="str">
        <x:v>São José dos Campos 2019</x:v>
      </x:c>
    </x:row>
    <x:row r="19">
      <x:c r="A19" s="13" t="n">
        <x:v>50.26483840105097</x:v>
      </x:c>
      <x:c r="B19" s="13" t="n">
        <x:v>4.145943137613454</x:v>
      </x:c>
      <x:c r="C19" s="13"/>
      <x:c r="D19" s="10" t="str">
        <x:v>São José dos Campos 2020</x:v>
      </x:c>
    </x:row>
    <x:row r="20">
      <x:c r="A20" s="13" t="n">
        <x:v>52.451477638054655</x:v>
      </x:c>
      <x:c r="B20" s="13" t="n">
        <x:v>4.252333398412144</x:v>
      </x:c>
      <x:c r="C20" s="13"/>
      <x:c r="D20" s="10" t="str">
        <x:v>São José dos Campos 2021</x:v>
      </x:c>
    </x:row>
    <x:row r="21">
      <x:c r="A21" s="13" t="n">
        <x:v>62.13490210415673</x:v>
      </x:c>
      <x:c r="B21" s="13" t="n">
        <x:v>4.492238835922482</x:v>
      </x:c>
      <x:c r="C21" s="13"/>
      <x:c r="D21" s="10" t="str">
        <x:v>São José dos Campos 2022</x:v>
      </x:c>
    </x:row>
    <x:row r="22">
      <x:c r="A22" s="13" t="n">
        <x:v>64.36061424718046</x:v>
      </x:c>
      <x:c r="B22" s="13" t="n">
        <x:v>4.471161166965837</x:v>
      </x:c>
      <x:c r="C22" s="13"/>
      <x:c r="D22" s="10" t="str">
        <x:v>São José dos Campos 2023</x:v>
      </x:c>
    </x:row>
    <x:row r="23">
      <x:c r="A23" s="13" t="n">
        <x:v>27.94953519691048</x:v>
      </x:c>
      <x:c r="B23" s="13"/>
      <x:c r="C23" s="13" t="n">
        <x:v>3.8833816342097807</x:v>
      </x:c>
      <x:c r="D23" s="10" t="str">
        <x:v>Linha ajustada</x:v>
      </x:c>
    </x:row>
    <x:row r="24">
      <x:c r="A24" s="13" t="n">
        <x:v>29.865907778503637</x:v>
      </x:c>
      <x:c r="B24" s="13"/>
      <x:c r="C24" s="13" t="n">
        <x:v>3.9065767600278525</x:v>
      </x:c>
      <x:c r="D24" s="10" t="str">
        <x:v>Linha ajustada</x:v>
      </x:c>
    </x:row>
    <x:row r="25">
      <x:c r="A25" s="13" t="n">
        <x:v>31.782280360096795</x:v>
      </x:c>
      <x:c r="B25" s="13"/>
      <x:c r="C25" s="13" t="n">
        <x:v>3.9297718858459243</x:v>
      </x:c>
      <x:c r="D25" s="10" t="str">
        <x:v>Linha ajustada</x:v>
      </x:c>
    </x:row>
    <x:row r="26">
      <x:c r="A26" s="13" t="n">
        <x:v>33.69865294168995</x:v>
      </x:c>
      <x:c r="B26" s="13"/>
      <x:c r="C26" s="13" t="n">
        <x:v>3.952967011663996</x:v>
      </x:c>
      <x:c r="D26" s="10" t="str">
        <x:v>Linha ajustada</x:v>
      </x:c>
    </x:row>
    <x:row r="27">
      <x:c r="A27" s="13" t="n">
        <x:v>35.6150255232831</x:v>
      </x:c>
      <x:c r="B27" s="13"/>
      <x:c r="C27" s="13" t="n">
        <x:v>3.976162137482068</x:v>
      </x:c>
      <x:c r="D27" s="10" t="str">
        <x:v>Linha ajustada</x:v>
      </x:c>
    </x:row>
    <x:row r="28">
      <x:c r="A28" s="13" t="n">
        <x:v>37.53139810487627</x:v>
      </x:c>
      <x:c r="B28" s="13"/>
      <x:c r="C28" s="13" t="n">
        <x:v>3.9993572633001397</x:v>
      </x:c>
      <x:c r="D28" s="10" t="str">
        <x:v>Linha ajustada</x:v>
      </x:c>
    </x:row>
    <x:row r="29">
      <x:c r="A29" s="13" t="n">
        <x:v>39.44777068646942</x:v>
      </x:c>
      <x:c r="B29" s="13"/>
      <x:c r="C29" s="13" t="n">
        <x:v>4.022552389118212</x:v>
      </x:c>
      <x:c r="D29" s="10" t="str">
        <x:v>Linha ajustada</x:v>
      </x:c>
    </x:row>
    <x:row r="30">
      <x:c r="A30" s="13" t="n">
        <x:v>41.36414326806258</x:v>
      </x:c>
      <x:c r="B30" s="13"/>
      <x:c r="C30" s="13" t="n">
        <x:v>4.045747514936283</x:v>
      </x:c>
      <x:c r="D30" s="10" t="str">
        <x:v>Linha ajustada</x:v>
      </x:c>
    </x:row>
    <x:row r="31">
      <x:c r="A31" s="13" t="n">
        <x:v>43.28051584965573</x:v>
      </x:c>
      <x:c r="B31" s="13"/>
      <x:c r="C31" s="13" t="n">
        <x:v>4.068942640754355</x:v>
      </x:c>
      <x:c r="D31" s="10" t="str">
        <x:v>Linha ajustada</x:v>
      </x:c>
    </x:row>
    <x:row r="32">
      <x:c r="A32" s="13" t="n">
        <x:v>45.19688843124889</x:v>
      </x:c>
      <x:c r="B32" s="13"/>
      <x:c r="C32" s="13" t="n">
        <x:v>4.092137766572427</x:v>
      </x:c>
      <x:c r="D32" s="10" t="str">
        <x:v>Linha ajustada</x:v>
      </x:c>
    </x:row>
    <x:row r="33">
      <x:c r="A33" s="13" t="n">
        <x:v>47.11326101284204</x:v>
      </x:c>
      <x:c r="B33" s="13"/>
      <x:c r="C33" s="13" t="n">
        <x:v>4.115332892390499</x:v>
      </x:c>
      <x:c r="D33" s="10" t="str">
        <x:v>Linha ajustada</x:v>
      </x:c>
    </x:row>
    <x:row r="34">
      <x:c r="A34" s="13" t="n">
        <x:v>49.029633594435204</x:v>
      </x:c>
      <x:c r="B34" s="13"/>
      <x:c r="C34" s="13" t="n">
        <x:v>4.138528018208571</x:v>
      </x:c>
      <x:c r="D34" s="10" t="str">
        <x:v>Linha ajustada</x:v>
      </x:c>
    </x:row>
    <x:row r="35">
      <x:c r="A35" s="13" t="n">
        <x:v>50.946006176028355</x:v>
      </x:c>
      <x:c r="B35" s="13"/>
      <x:c r="C35" s="13" t="n">
        <x:v>4.1617231440266425</x:v>
      </x:c>
      <x:c r="D35" s="10" t="str">
        <x:v>Linha ajustada</x:v>
      </x:c>
    </x:row>
    <x:row r="36">
      <x:c r="A36" s="13" t="n">
        <x:v>52.862378757621514</x:v>
      </x:c>
      <x:c r="B36" s="13"/>
      <x:c r="C36" s="13" t="n">
        <x:v>4.184918269844714</x:v>
      </x:c>
      <x:c r="D36" s="10" t="str">
        <x:v>Linha ajustada</x:v>
      </x:c>
    </x:row>
    <x:row r="37">
      <x:c r="A37" s="13" t="n">
        <x:v>54.77875133921468</x:v>
      </x:c>
      <x:c r="B37" s="13"/>
      <x:c r="C37" s="13" t="n">
        <x:v>4.208113395662786</x:v>
      </x:c>
      <x:c r="D37" s="10" t="str">
        <x:v>Linha ajustada</x:v>
      </x:c>
    </x:row>
    <x:row r="38">
      <x:c r="A38" s="13" t="n">
        <x:v>56.69512392080783</x:v>
      </x:c>
      <x:c r="B38" s="13"/>
      <x:c r="C38" s="13" t="n">
        <x:v>4.231308521480858</x:v>
      </x:c>
      <x:c r="D38" s="10" t="str">
        <x:v>Linha ajustada</x:v>
      </x:c>
    </x:row>
    <x:row r="39">
      <x:c r="A39" s="13" t="n">
        <x:v>58.61149650240099</x:v>
      </x:c>
      <x:c r="B39" s="13"/>
      <x:c r="C39" s="13" t="n">
        <x:v>4.254503647298931</x:v>
      </x:c>
      <x:c r="D39" s="10" t="str">
        <x:v>Linha ajustada</x:v>
      </x:c>
    </x:row>
    <x:row r="40">
      <x:c r="A40" s="13" t="n">
        <x:v>60.52786908399414</x:v>
      </x:c>
      <x:c r="B40" s="13"/>
      <x:c r="C40" s="13" t="n">
        <x:v>4.277698773117002</x:v>
      </x:c>
      <x:c r="D40" s="10" t="str">
        <x:v>Linha ajustada</x:v>
      </x:c>
    </x:row>
    <x:row r="41">
      <x:c r="A41" s="13" t="n">
        <x:v>62.4442416655873</x:v>
      </x:c>
      <x:c r="B41" s="13"/>
      <x:c r="C41" s="13" t="n">
        <x:v>4.300893898935074</x:v>
      </x:c>
      <x:c r="D41" s="10" t="str">
        <x:v>Linha ajustada</x:v>
      </x:c>
    </x:row>
    <x:row r="42">
      <x:c r="A42" s="13" t="n">
        <x:v>64.36061424718045</x:v>
      </x:c>
      <x:c r="B42" s="13"/>
      <x:c r="C42" s="13" t="n">
        <x:v>4.324089024753145</x:v>
      </x:c>
      <x:c r="D42" s="10" t="str">
        <x:v>Linha ajustada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618e85e3a3c4afe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</x:cols>
  <x:sheetData>
    <x:row r="1" ht="22.5" customHeight="1">
      <x:c r="A1" s="3" t="str">
        <x:v>Q8 - Mapa temático</x:v>
      </x:c>
    </x:row>
    <x:row r="2" ht="22.5" customHeight="1">
      <x:c r="A2" s="6" t="str">
        <x:v>Receita municipal per capita em 2024, municípios da base no estado de São Paulo</x:v>
      </x:c>
    </x:row>
    <x:row r="4">
      <x:c r="A4" s="23" t="str">
        <x:v>Mapa temático gerado em PNG e incorporado no relatório Word. Caso a visualização do Excel não mostre imagens no preview, use o arquivo mapa_receita_per_capita_2024.png incluído no pacote.</x:v>
      </x:c>
    </x:row>
    <x:row r="7">
      <x:c r="A7" s="7" t="str">
        <x:v>Município</x:v>
      </x:c>
      <x:c r="B7" s="7" t="str">
        <x:v>Receita per capita 2024</x:v>
      </x:c>
      <x:c r="C7" s="7" t="str">
        <x:v>Fonte</x:v>
      </x:c>
      <x:c r="D7" s="7" t="str">
        <x:v>Observação</x:v>
      </x:c>
    </x:row>
    <x:row r="8">
      <x:c r="A8" t="str">
        <x:v>São José dos Campos/SP</x:v>
      </x:c>
      <x:c r="B8" s="24" t="n">
        <x:v>6632.168052047861</x:v>
      </x:c>
      <x:c r="C8" t="str">
        <x:v>SICONFI + IBGE</x:v>
      </x:c>
      <x:c r="D8" t="str">
        <x:v>Mapa limitado aos municípios da base.</x:v>
      </x:c>
    </x:row>
    <x:row r="9">
      <x:c r="A9" t="str">
        <x:v>Santos/SP</x:v>
      </x:c>
      <x:c r="B9" s="24" t="n">
        <x:v>12077.454410348093</x:v>
      </x:c>
      <x:c r="C9" t="str">
        <x:v>SICONFI + IBGE</x:v>
      </x:c>
      <x:c r="D9" t="str">
        <x:v>Malha oficial IBGE.</x:v>
      </x:c>
    </x:row>
  </x:sheetData>
  <x:mergeCells>
    <x:mergeCell ref="A1:H1"/>
    <x:mergeCell ref="A2:H2"/>
    <x:mergeCell ref="A4:H5"/>
  </x:mergeCells>
  <x:pageMargins left="0.7" right="0.7" top="0.75" bottom="0.75" header="0.3" footer="0.3"/>
  <x:drawing xmlns:r="http://schemas.openxmlformats.org/officeDocument/2006/relationships" r:id="Rb67c4fcd061640f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  <x:col min="8" max="8" width="42.400001525878906" hidden="0" customWidth="1"/>
  </x:cols>
  <x:sheetData>
    <x:row r="1" ht="22.5" customHeight="1">
      <x:c r="A1" s="3" t="str">
        <x:v>Modelos estatísticos</x:v>
      </x:c>
    </x:row>
    <x:row r="2" ht="22.5" customHeight="1">
      <x:c r="A2" s="6" t="str">
        <x:v>Coeficientes estimados e leituras para as questões</x:v>
      </x:c>
    </x:row>
    <x:row r="4">
      <x:c r="A4" s="16" t="str">
        <x:v>Modelo</x:v>
      </x:c>
      <x:c r="B4" s="16" t="str">
        <x:v>n</x:v>
      </x:c>
      <x:c r="C4" s="16" t="str">
        <x:v>β0</x:v>
      </x:c>
      <x:c r="D4" s="16" t="str">
        <x:v>β1</x:v>
      </x:c>
      <x:c r="E4" s="16" t="str">
        <x:v>β2</x:v>
      </x:c>
      <x:c r="F4" s="16" t="str">
        <x:v>R²</x:v>
      </x:c>
      <x:c r="G4" s="16" t="str">
        <x:v>Correlação</x:v>
      </x:c>
      <x:c r="H4" s="16" t="str">
        <x:v>Leitura</x:v>
      </x:c>
    </x:row>
    <x:row r="5">
      <x:c r="A5" s="10" t="str">
        <x:v>Receita = β0 + β1 PIB</x:v>
      </x:c>
      <x:c r="B5" s="10" t="n">
        <x:v>18</x:v>
      </x:c>
      <x:c r="C5" s="11" t="n">
        <x:v>3545089909.690317</x:v>
      </x:c>
      <x:c r="D5" s="11" t="n">
        <x:v>0.01210366190836899</x:v>
      </x:c>
      <x:c r="E5" s="11"/>
      <x:c r="F5" s="11" t="n">
        <x:v>0.26486710345412856</x:v>
      </x:c>
      <x:c r="G5" s="11" t="n">
        <x:v>0.5146524103257734</x:v>
      </x:c>
      <x:c r="H5" s="10" t="str">
        <x:v>β1 indica a receita associada a R$ 1 adicional de PIB no recorte.</x:v>
      </x:c>
    </x:row>
    <x:row r="6">
      <x:c r="A6" s="10" t="str">
        <x:v>IDEB = β0 + β1 Gasto educação pc</x:v>
      </x:c>
      <x:c r="B6" s="10" t="n">
        <x:v>8</x:v>
      </x:c>
      <x:c r="C6" s="11" t="n">
        <x:v>8.192365706682132</x:v>
      </x:c>
      <x:c r="D6" s="11" t="n">
        <x:v>-0.0012372180757275507</x:v>
      </x:c>
      <x:c r="E6" s="11"/>
      <x:c r="F6" s="11" t="n">
        <x:v>0.5691027777261962</x:v>
      </x:c>
      <x:c r="G6" s="11" t="n">
        <x:v>-0.7543890095475915</x:v>
      </x:c>
      <x:c r="H6" s="10" t="str">
        <x:v>Correlação negativa no pequeno recorte; não implica causalidade.</x:v>
      </x:c>
    </x:row>
    <x:row r="7">
      <x:c r="A7" s="10" t="str">
        <x:v>Laffer: Receita trib. = β0 + β1 carga + β2 carga²</x:v>
      </x:c>
      <x:c r="B7" s="10" t="n">
        <x:v>18</x:v>
      </x:c>
      <x:c r="C7" s="11" t="n">
        <x:v>848055324.4442468</x:v>
      </x:c>
      <x:c r="D7" s="11" t="n">
        <x:v>8858885080.401674</x:v>
      </x:c>
      <x:c r="E7" s="11" t="n">
        <x:v>129171307626.67566</x:v>
      </x:c>
      <x:c r="F7" s="11" t="n">
        <x:v>0.957297986623061</x:v>
      </x:c>
      <x:c r="G7" s="11" t="n">
        <x:v>0.9756284938375342</x:v>
      </x:c>
      <x:c r="H7" s="10" t="str">
        <x:v>β2 positivo: não há ponto de inflexão máximo no intervalo observado.</x:v>
      </x:c>
    </x:row>
  </x:sheetData>
  <x:mergeCells>
    <x:mergeCell ref="A1:H1"/>
    <x:mergeCell ref="A2:H2"/>
  </x:mergeCells>
  <x:pageMargins left="0.7" right="0.7" top="0.75" bottom="0.75" header="0.3" footer="0.3"/>
</x:worksheet>
</file>