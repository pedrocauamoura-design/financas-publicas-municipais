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showInkAnnotation="0" autoCompressPictures="0"/>
  <xr:revisionPtr revIDLastSave="0" documentId="8_{D50D6F2F-5458-4EED-9436-92B74CDE8EC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shboard" sheetId="1" r:id="rId1"/>
    <sheet name="Dados_reais" sheetId="2" r:id="rId2"/>
    <sheet name="Q2_Uruguai" sheetId="3" r:id="rId3"/>
    <sheet name="Q3_Receita" sheetId="4" r:id="rId4"/>
    <sheet name="Q4_ReceitaDespesa" sheetId="5" r:id="rId5"/>
    <sheet name="Q5_Educacao_IDEB" sheetId="6" r:id="rId6"/>
    <sheet name="Q6_Laffer" sheetId="7" r:id="rId7"/>
    <sheet name="Q7_PIB_Receita" sheetId="8" r:id="rId8"/>
    <sheet name="Q8_Mapa" sheetId="9" r:id="rId9"/>
    <sheet name="Modelos" sheetId="10" r:id="rId10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<sst xmlns="http://schemas.openxmlformats.org/spreadsheetml/2006/main" count="176" uniqueCount="120">
  <si>
    <t>Diagnóstico fiscal integrado</t>
  </si>
  <si>
    <t>Indicador</t>
  </si>
  <si>
    <t>Valor</t>
  </si>
  <si>
    <t>Leitura</t>
  </si>
  <si>
    <t>Correlação PIB x Receita</t>
  </si>
  <si>
    <t>moderada positiva</t>
  </si>
  <si>
    <t>Receita pc SJC 2024</t>
  </si>
  <si>
    <t>R$/habitante</t>
  </si>
  <si>
    <t>β1 Receita~PIB</t>
  </si>
  <si>
    <t>R$ receita por R$ 1 de PIB</t>
  </si>
  <si>
    <t>Receita pc Santos 2024</t>
  </si>
  <si>
    <t>R² Receita~PIB</t>
  </si>
  <si>
    <t>poder explicativo limitado</t>
  </si>
  <si>
    <t>Gov. consumo Uruguai 2024</t>
  </si>
  <si>
    <t>% do PIB</t>
  </si>
  <si>
    <t>Corr. gasto educação x IDEB</t>
  </si>
  <si>
    <t>negativa no recorte</t>
  </si>
  <si>
    <t>Receita tributária Uruguai 2024</t>
  </si>
  <si>
    <t>Laffer quadrática</t>
  </si>
  <si>
    <t>β2 &gt; 0</t>
  </si>
  <si>
    <t>sem inversão no intervalo</t>
  </si>
  <si>
    <t>Base municipal</t>
  </si>
  <si>
    <t>linhas 2015-2024</t>
  </si>
  <si>
    <t>Base em valores reais</t>
  </si>
  <si>
    <t>Valores monetários deflacionados para reais de 2024 pelo IPCA/SIDRA</t>
  </si>
  <si>
    <t>municipio</t>
  </si>
  <si>
    <t>ano</t>
  </si>
  <si>
    <t>populacao</t>
  </si>
  <si>
    <t>pib_real_2024</t>
  </si>
  <si>
    <t>receita_real_2024</t>
  </si>
  <si>
    <t>despesa_real_2024</t>
  </si>
  <si>
    <t>receita_tributaria_real_2024</t>
  </si>
  <si>
    <t>transferencias_real_2024</t>
  </si>
  <si>
    <t>despesa_educacao_real_2024</t>
  </si>
  <si>
    <t>despesa_saude_real_2024</t>
  </si>
  <si>
    <t>ideb</t>
  </si>
  <si>
    <t>indicador_saude</t>
  </si>
  <si>
    <t>ipca</t>
  </si>
  <si>
    <t>proxy_carga_tributaria</t>
  </si>
  <si>
    <t>Santos</t>
  </si>
  <si>
    <t>São José dos Campos</t>
  </si>
  <si>
    <t>Q2 - Uruguai: forma de Estado e financiamento público</t>
  </si>
  <si>
    <t>Indicadores macro e de presença fiscal no PIB</t>
  </si>
  <si>
    <t>Ano</t>
  </si>
  <si>
    <t>Cresc. PIB real %</t>
  </si>
  <si>
    <t>Inflação IPC %</t>
  </si>
  <si>
    <t>Desemprego %</t>
  </si>
  <si>
    <t>Consumo governo % PIB</t>
  </si>
  <si>
    <t>Receita tributária % PIB</t>
  </si>
  <si>
    <t>Q3 - Composição da receita municipal</t>
  </si>
  <si>
    <t>Participação de receita tributária, transferências e outras receitas</t>
  </si>
  <si>
    <t>Tributária %</t>
  </si>
  <si>
    <t>Transferências %</t>
  </si>
  <si>
    <t>Outras %</t>
  </si>
  <si>
    <t>Q4 - Receita e despesa em valores reais</t>
  </si>
  <si>
    <t>Soma dos dois municípios, em R$ bilhões de 2024</t>
  </si>
  <si>
    <t>Receita real (R$ bi)</t>
  </si>
  <si>
    <t>Despesa real (R$ bi)</t>
  </si>
  <si>
    <t>Resultado (R$ bi)</t>
  </si>
  <si>
    <t>Q5 - Gasto em educação e IDEB</t>
  </si>
  <si>
    <t>Dispersão: gasto em educação per capita x IDEB</t>
  </si>
  <si>
    <t>Gasto educação pc</t>
  </si>
  <si>
    <t>IDEB</t>
  </si>
  <si>
    <t>Ajustado</t>
  </si>
  <si>
    <t>Obs.</t>
  </si>
  <si>
    <t>Santos 2015</t>
  </si>
  <si>
    <t>Santos 2017</t>
  </si>
  <si>
    <t>Santos 2019</t>
  </si>
  <si>
    <t>Santos 2021</t>
  </si>
  <si>
    <t>São José dos Campos 2015</t>
  </si>
  <si>
    <t>São José dos Campos 2017</t>
  </si>
  <si>
    <t>São José dos Campos 2019</t>
  </si>
  <si>
    <t>São José dos Campos 2021</t>
  </si>
  <si>
    <t>Q6 - Curva de Laffer empírica</t>
  </si>
  <si>
    <t>Receita tributária real vs proxy de carga tributária municipal</t>
  </si>
  <si>
    <t>Proxy carga tributária %</t>
  </si>
  <si>
    <t>Receita trib. real (R$ bi)</t>
  </si>
  <si>
    <t>Ajuste quadrático (R$ bi)</t>
  </si>
  <si>
    <t>Q7 - Regressão Receita = β0 + β1 PIB + ε</t>
  </si>
  <si>
    <t>Dispersão em R$ bilhões de 2024, 2015-2023</t>
  </si>
  <si>
    <t>PIB real (R$ bi)</t>
  </si>
  <si>
    <t>Receita ajustada (R$ bi)</t>
  </si>
  <si>
    <t>Santos 2016</t>
  </si>
  <si>
    <t>Santos 2018</t>
  </si>
  <si>
    <t>Santos 2020</t>
  </si>
  <si>
    <t>Santos 2022</t>
  </si>
  <si>
    <t>Santos 2023</t>
  </si>
  <si>
    <t>São José dos Campos 2016</t>
  </si>
  <si>
    <t>São José dos Campos 2018</t>
  </si>
  <si>
    <t>São José dos Campos 2020</t>
  </si>
  <si>
    <t>São José dos Campos 2022</t>
  </si>
  <si>
    <t>São José dos Campos 2023</t>
  </si>
  <si>
    <t>Linha ajustada</t>
  </si>
  <si>
    <t>Q8 - Mapa temático</t>
  </si>
  <si>
    <t>Receita municipal per capita em 2024, municípios da base no estado de São Paulo</t>
  </si>
  <si>
    <t>Mapa temático gerado em PNG e incorporado no relatório Word. Caso a visualização do Excel não mostre imagens no preview, use o arquivo mapa_receita_per_capita_2024.png incluído no pacote.</t>
  </si>
  <si>
    <t>Município</t>
  </si>
  <si>
    <t>Receita per capita 2024</t>
  </si>
  <si>
    <t>Fonte</t>
  </si>
  <si>
    <t>Observação</t>
  </si>
  <si>
    <t>São José dos Campos/SP</t>
  </si>
  <si>
    <t>SICONFI + IBGE</t>
  </si>
  <si>
    <t>Mapa limitado aos municípios da base.</t>
  </si>
  <si>
    <t>Santos/SP</t>
  </si>
  <si>
    <t>Malha oficial IBGE.</t>
  </si>
  <si>
    <t>Modelos estatísticos</t>
  </si>
  <si>
    <t>Coeficientes estimados e leituras para as questões</t>
  </si>
  <si>
    <t>Modelo</t>
  </si>
  <si>
    <t>n</t>
  </si>
  <si>
    <t>β0</t>
  </si>
  <si>
    <t>β1</t>
  </si>
  <si>
    <t>β2</t>
  </si>
  <si>
    <t>R²</t>
  </si>
  <si>
    <t>Correlação</t>
  </si>
  <si>
    <t>Receita = β0 + β1 PIB</t>
  </si>
  <si>
    <t>β1 indica a receita associada a R$ 1 adicional de PIB no recorte.</t>
  </si>
  <si>
    <t>IDEB = β0 + β1 Gasto educação pc</t>
  </si>
  <si>
    <t>Correlação negativa no pequeno recorte; não implica causalidade.</t>
  </si>
  <si>
    <t>Laffer: Receita trib. = β0 + β1 carga + β2 carga²</t>
  </si>
  <si>
    <t>β2 positivo: não há ponto de inflexão máximo no intervalo observado.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</si>
</sst>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&quot;R$&quot;\ #,##0"/>
    <numFmt numFmtId="166" formatCode="0.0"/>
  </numFmts>
  <fonts count="6">
    <font>
      <sz val="11"/>
      <name val="Carlito"/>
    </font>
    <font>
      <b/>
      <sz val="18"/>
      <color rgb="FFFFFFFF"/>
      <name val="Carlito"/>
    </font>
    <font>
      <i/>
      <sz val="11"/>
      <color rgb="FF24424D"/>
      <name val="Carlito"/>
    </font>
    <font>
      <b/>
      <sz val="11"/>
      <color rgb="FFFFFFFF"/>
      <name val="Carlito"/>
    </font>
    <font>
      <sz val="11"/>
      <color rgb="FF24333A"/>
      <name val="Carlito"/>
    </font>
    <font>
      <sz val="11"/>
      <color rgb="FF334155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B45"/>
      </patternFill>
    </fill>
    <fill>
      <patternFill patternType="solid">
        <fgColor rgb="FFE7F1F0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0" xfId="0" applyFont="1" applyFill="1"/>
    <xf numFmtId="0" fontId="4" fillId="4" borderId="0" xfId="0" applyFont="1" applyFill="1" applyAlignment="1">
      <alignment vertical="center"/>
    </xf>
    <xf numFmtId="165" fontId="4" fillId="4" borderId="0" xfId="0" applyNumberFormat="1" applyFont="1" applyFill="1" applyAlignment="1">
      <alignment vertical="center"/>
    </xf>
    <xf numFmtId="2" fontId="4" fillId="4" borderId="0" xfId="0" applyNumberFormat="1" applyFont="1" applyFill="1" applyAlignment="1">
      <alignment vertical="center"/>
    </xf>
    <xf numFmtId="0" fontId="3" fillId="2" borderId="0" xfId="0" applyFont="1" applyFill="1" applyAlignment="1">
      <alignment horizontal="center" vertical="center" wrapText="1"/>
    </xf>
    <xf numFmtId="3" fontId="4" fillId="4" borderId="0" xfId="0" applyNumberFormat="1" applyFont="1" applyFill="1" applyAlignment="1">
      <alignment vertical="center"/>
    </xf>
    <xf numFmtId="166" fontId="4" fillId="4" borderId="0" xfId="0" applyNumberFormat="1" applyFont="1" applyFill="1" applyAlignment="1">
      <alignment vertical="center"/>
    </xf>
    <xf numFmtId="10" fontId="4" fillId="4" borderId="0" xfId="0" applyNumberFormat="1" applyFont="1" applyFill="1" applyAlignment="1">
      <alignment vertical="center"/>
    </xf>
    <xf numFmtId="165" fontId="0" fillId="0" borderId="0" xfId="0" applyNumberFormat="1"/>
    <xf numFmtId="0" fontId="3" fillId="2" borderId="0" xfId="0" applyFont="1" applyFill="1" applyAlignment="1">
      <alignment horizontal="center"/>
    </xf>
    <xf numFmtId="164" fontId="4" fillId="4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65" fontId="4" fillId="4" borderId="0" xfId="0" applyNumberFormat="1" applyFont="1" applyFill="1" applyAlignment="1">
      <alignment horizontal="center" vertical="center"/>
    </xf>
    <xf numFmtId="2" fontId="4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2" fontId="0" fillId="0" borderId="0" xfId="0" applyNumberFormat="1"/>
    <xf numFmtId="166" fontId="4" fillId="4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5" fillId="5" borderId="0" xfId="0" applyFont="1" applyFill="1" applyAlignment="1">
      <alignment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en-US"/>
              <a:t>Uruguai: macro e setor público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Cresc. PIB real %</c:v>
          </c:tx>
          <c:cat>
            <c:numRef>
              <c:f>Q2_Uruguai!$A$5:$A$14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Q2_Uruguai!$B$5:$B$14</c:f>
              <c:numCache>
                <c:formatCode>General</c:formatCode>
                <c:ptCount val="10"/>
                <c:pt idx="0">
                  <c:v>0.37074125768134503</c:v>
                </c:pt>
                <c:pt idx="1">
                  <c:v>1.6897982297177501</c:v>
                </c:pt>
                <c:pt idx="2">
                  <c:v>1.7403764337421099</c:v>
                </c:pt>
                <c:pt idx="3">
                  <c:v>0.16477760894011301</c:v>
                </c:pt>
                <c:pt idx="4">
                  <c:v>0.92835114126749796</c:v>
                </c:pt>
                <c:pt idx="5">
                  <c:v>-7.3573270648472304</c:v>
                </c:pt>
                <c:pt idx="6">
                  <c:v>5.8442731255817897</c:v>
                </c:pt>
                <c:pt idx="7">
                  <c:v>4.4862270307207304</c:v>
                </c:pt>
                <c:pt idx="8">
                  <c:v>0.74212878531592696</c:v>
                </c:pt>
                <c:pt idx="9">
                  <c:v>3.1082547806617198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43-4AD2-84BB-A292D0C6F1F1}"/>
            </c:ext>
          </c:extLst>
        </c:ser>
        <c:ser>
          <c:idx val="1"/>
          <c:order val="1"/>
          <c:tx>
            <c:v>Inflação IPC %</c:v>
          </c:tx>
          <c:cat>
            <c:numRef>
              <c:f>Q2_Uruguai!$A$5:$A$14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Q2_Uruguai!$C$5:$C$14</c:f>
              <c:numCache>
                <c:formatCode>General</c:formatCode>
                <c:ptCount val="10"/>
                <c:pt idx="0">
                  <c:v>8.6662698707932808</c:v>
                </c:pt>
                <c:pt idx="1">
                  <c:v>9.6394134763507999</c:v>
                </c:pt>
                <c:pt idx="2">
                  <c:v>6.2180938256185998</c:v>
                </c:pt>
                <c:pt idx="3">
                  <c:v>7.6065336037704698</c:v>
                </c:pt>
                <c:pt idx="4">
                  <c:v>7.8819887087961904</c:v>
                </c:pt>
                <c:pt idx="5">
                  <c:v>9.7564063607819396</c:v>
                </c:pt>
                <c:pt idx="6">
                  <c:v>7.7479140231476196</c:v>
                </c:pt>
                <c:pt idx="7">
                  <c:v>9.10437983075437</c:v>
                </c:pt>
                <c:pt idx="8">
                  <c:v>5.8691035989611899</c:v>
                </c:pt>
                <c:pt idx="9">
                  <c:v>4.8491436661315603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43-4AD2-84BB-A292D0C6F1F1}"/>
            </c:ext>
          </c:extLst>
        </c:ser>
        <c:ser>
          <c:idx val="2"/>
          <c:order val="2"/>
          <c:tx>
            <c:v>Desemprego %</c:v>
          </c:tx>
          <c:cat>
            <c:numRef>
              <c:f>Q2_Uruguai!$A$5:$A$14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Q2_Uruguai!$D$5:$D$14</c:f>
              <c:numCache>
                <c:formatCode>General</c:formatCode>
                <c:ptCount val="10"/>
                <c:pt idx="0">
                  <c:v>7.4880000000000004</c:v>
                </c:pt>
                <c:pt idx="1">
                  <c:v>7.8410000000000002</c:v>
                </c:pt>
                <c:pt idx="2">
                  <c:v>7.89</c:v>
                </c:pt>
                <c:pt idx="3">
                  <c:v>8.3360000000000003</c:v>
                </c:pt>
                <c:pt idx="4">
                  <c:v>8.8360000000000003</c:v>
                </c:pt>
                <c:pt idx="5">
                  <c:v>10.413</c:v>
                </c:pt>
                <c:pt idx="6">
                  <c:v>9.3279999999999994</c:v>
                </c:pt>
                <c:pt idx="7">
                  <c:v>7.8769999999999998</c:v>
                </c:pt>
                <c:pt idx="8">
                  <c:v>8.3550000000000004</c:v>
                </c:pt>
                <c:pt idx="9">
                  <c:v>8.2089999999999996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43-4AD2-84BB-A292D0C6F1F1}"/>
            </c:ext>
          </c:extLst>
        </c:ser>
        <c:ser>
          <c:idx val="3"/>
          <c:order val="3"/>
          <c:tx>
            <c:v>Consumo governo % PIB</c:v>
          </c:tx>
          <c:cat>
            <c:numRef>
              <c:f>Q2_Uruguai!$A$5:$A$14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Q2_Uruguai!$E$5:$E$14</c:f>
              <c:numCache>
                <c:formatCode>General</c:formatCode>
                <c:ptCount val="10"/>
                <c:pt idx="0">
                  <c:v>13.835809997370401</c:v>
                </c:pt>
                <c:pt idx="1">
                  <c:v>15.944832285798199</c:v>
                </c:pt>
                <c:pt idx="2">
                  <c:v>16.494347973715598</c:v>
                </c:pt>
                <c:pt idx="3">
                  <c:v>16.8898046110751</c:v>
                </c:pt>
                <c:pt idx="4">
                  <c:v>17.2836793288606</c:v>
                </c:pt>
                <c:pt idx="5">
                  <c:v>18.052620998676101</c:v>
                </c:pt>
                <c:pt idx="6">
                  <c:v>16.827423331656199</c:v>
                </c:pt>
                <c:pt idx="7">
                  <c:v>16.351925604524101</c:v>
                </c:pt>
                <c:pt idx="8">
                  <c:v>16.996364019644702</c:v>
                </c:pt>
                <c:pt idx="9">
                  <c:v>17.167989034341002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643-4AD2-84BB-A292D0C6F1F1}"/>
            </c:ext>
          </c:extLst>
        </c:ser>
        <c:ser>
          <c:idx val="4"/>
          <c:order val="4"/>
          <c:tx>
            <c:v>Receita tributária % PIB</c:v>
          </c:tx>
          <c:cat>
            <c:numRef>
              <c:f>Q2_Uruguai!$A$5:$A$14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Q2_Uruguai!$F$5:$F$14</c:f>
              <c:numCache>
                <c:formatCode>General</c:formatCode>
                <c:ptCount val="10"/>
                <c:pt idx="0">
                  <c:v>17.095615857288301</c:v>
                </c:pt>
                <c:pt idx="1">
                  <c:v>21.7322482220825</c:v>
                </c:pt>
                <c:pt idx="2">
                  <c:v>18.077476023770799</c:v>
                </c:pt>
                <c:pt idx="3">
                  <c:v>18.324704180693701</c:v>
                </c:pt>
                <c:pt idx="4">
                  <c:v>17.8650944074869</c:v>
                </c:pt>
                <c:pt idx="5">
                  <c:v>18.552647696456301</c:v>
                </c:pt>
                <c:pt idx="6">
                  <c:v>17.817413108266798</c:v>
                </c:pt>
                <c:pt idx="7">
                  <c:v>18.5974753264661</c:v>
                </c:pt>
                <c:pt idx="8">
                  <c:v>18.657999158829199</c:v>
                </c:pt>
                <c:pt idx="9">
                  <c:v>18.1623555712757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643-4AD2-84BB-A292D0C6F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en-US"/>
              <a:t>Composição da receita agregada (%)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Tributária %</c:v>
          </c:tx>
          <c:cat>
            <c:numRef>
              <c:f>Q3_Receita!$A$5:$A$14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Q3_Receita!$B$5:$B$14</c:f>
              <c:numCache>
                <c:formatCode>0.0</c:formatCode>
                <c:ptCount val="10"/>
                <c:pt idx="0">
                  <c:v>33.648465406839421</c:v>
                </c:pt>
                <c:pt idx="1">
                  <c:v>28.601252537910604</c:v>
                </c:pt>
                <c:pt idx="2">
                  <c:v>31.021945372928862</c:v>
                </c:pt>
                <c:pt idx="3">
                  <c:v>37.757888384266188</c:v>
                </c:pt>
                <c:pt idx="4">
                  <c:v>40.587696577434087</c:v>
                </c:pt>
                <c:pt idx="5">
                  <c:v>38.435410924689734</c:v>
                </c:pt>
                <c:pt idx="6">
                  <c:v>38.025315186068681</c:v>
                </c:pt>
                <c:pt idx="7">
                  <c:v>39.190074224723332</c:v>
                </c:pt>
                <c:pt idx="8">
                  <c:v>40.100264465284816</c:v>
                </c:pt>
                <c:pt idx="9">
                  <c:v>38.572739509676495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0D-4592-A07D-FCC2994F1868}"/>
            </c:ext>
          </c:extLst>
        </c:ser>
        <c:ser>
          <c:idx val="1"/>
          <c:order val="1"/>
          <c:tx>
            <c:v>Transferências %</c:v>
          </c:tx>
          <c:cat>
            <c:numRef>
              <c:f>Q3_Receita!$A$5:$A$14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Q3_Receita!$C$5:$C$14</c:f>
              <c:numCache>
                <c:formatCode>0.0</c:formatCode>
                <c:ptCount val="10"/>
                <c:pt idx="0">
                  <c:v>48.029931230647975</c:v>
                </c:pt>
                <c:pt idx="1">
                  <c:v>39.986099155762886</c:v>
                </c:pt>
                <c:pt idx="2">
                  <c:v>42.699939953541929</c:v>
                </c:pt>
                <c:pt idx="3">
                  <c:v>44.35421308672926</c:v>
                </c:pt>
                <c:pt idx="4">
                  <c:v>44.976491293795284</c:v>
                </c:pt>
                <c:pt idx="5">
                  <c:v>47.703355124098493</c:v>
                </c:pt>
                <c:pt idx="6">
                  <c:v>48.860481048096396</c:v>
                </c:pt>
                <c:pt idx="7">
                  <c:v>48.419892176218823</c:v>
                </c:pt>
                <c:pt idx="8">
                  <c:v>46.58735121861455</c:v>
                </c:pt>
                <c:pt idx="9">
                  <c:v>47.694652408268226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0D-4592-A07D-FCC2994F1868}"/>
            </c:ext>
          </c:extLst>
        </c:ser>
        <c:ser>
          <c:idx val="2"/>
          <c:order val="2"/>
          <c:tx>
            <c:v>Outras %</c:v>
          </c:tx>
          <c:cat>
            <c:numRef>
              <c:f>Q3_Receita!$A$5:$A$14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Q3_Receita!$D$5:$D$14</c:f>
              <c:numCache>
                <c:formatCode>0.0</c:formatCode>
                <c:ptCount val="10"/>
                <c:pt idx="0">
                  <c:v>18.321603362512612</c:v>
                </c:pt>
                <c:pt idx="1">
                  <c:v>31.412648306326517</c:v>
                </c:pt>
                <c:pt idx="2">
                  <c:v>26.278114673529206</c:v>
                </c:pt>
                <c:pt idx="3">
                  <c:v>17.887898529004559</c:v>
                </c:pt>
                <c:pt idx="4">
                  <c:v>14.435812128770614</c:v>
                </c:pt>
                <c:pt idx="5">
                  <c:v>13.861233951211775</c:v>
                </c:pt>
                <c:pt idx="6">
                  <c:v>13.114203765834908</c:v>
                </c:pt>
                <c:pt idx="7">
                  <c:v>12.390033599057846</c:v>
                </c:pt>
                <c:pt idx="8">
                  <c:v>13.312384316100623</c:v>
                </c:pt>
                <c:pt idx="9">
                  <c:v>13.73260808205529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0D-4592-A07D-FCC2994F18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en-US"/>
              <a:t>Receitas e despesas reais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Receita real (R$ bi)</c:v>
          </c:tx>
          <c:cat>
            <c:numRef>
              <c:f>Q4_ReceitaDespesa!$A$5:$A$14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Q4_ReceitaDespesa!$B$5:$B$14</c:f>
              <c:numCache>
                <c:formatCode>0.00</c:formatCode>
                <c:ptCount val="10"/>
                <c:pt idx="0">
                  <c:v>7.3160694272558207</c:v>
                </c:pt>
                <c:pt idx="1">
                  <c:v>8.3058656246373772</c:v>
                </c:pt>
                <c:pt idx="2">
                  <c:v>7.9371221251381074</c:v>
                </c:pt>
                <c:pt idx="3">
                  <c:v>7.9006350269965324</c:v>
                </c:pt>
                <c:pt idx="4">
                  <c:v>8.0443489388728651</c:v>
                </c:pt>
                <c:pt idx="5">
                  <c:v>8.058464551273774</c:v>
                </c:pt>
                <c:pt idx="6">
                  <c:v>8.0956501976899258</c:v>
                </c:pt>
                <c:pt idx="7">
                  <c:v>8.7325628860948932</c:v>
                </c:pt>
                <c:pt idx="8">
                  <c:v>9.0092356853546249</c:v>
                </c:pt>
                <c:pt idx="9">
                  <c:v>9.9947794474199974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D1-4D06-942E-C595E9388F92}"/>
            </c:ext>
          </c:extLst>
        </c:ser>
        <c:ser>
          <c:idx val="1"/>
          <c:order val="1"/>
          <c:tx>
            <c:v>Despesa real (R$ bi)</c:v>
          </c:tx>
          <c:cat>
            <c:numRef>
              <c:f>Q4_ReceitaDespesa!$A$5:$A$14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Q4_ReceitaDespesa!$C$5:$C$14</c:f>
              <c:numCache>
                <c:formatCode>0.00</c:formatCode>
                <c:ptCount val="10"/>
                <c:pt idx="0">
                  <c:v>6.9606242977803756</c:v>
                </c:pt>
                <c:pt idx="1">
                  <c:v>7.6573551415197638</c:v>
                </c:pt>
                <c:pt idx="2">
                  <c:v>7.1189533103452369</c:v>
                </c:pt>
                <c:pt idx="3">
                  <c:v>7.5861761190495391</c:v>
                </c:pt>
                <c:pt idx="4">
                  <c:v>8.3467836986571271</c:v>
                </c:pt>
                <c:pt idx="5">
                  <c:v>8.2507659088501146</c:v>
                </c:pt>
                <c:pt idx="6">
                  <c:v>8.0380912497815569</c:v>
                </c:pt>
                <c:pt idx="7">
                  <c:v>8.6949238703449439</c:v>
                </c:pt>
                <c:pt idx="8">
                  <c:v>9.5257216630742452</c:v>
                </c:pt>
                <c:pt idx="9">
                  <c:v>10.059291312739999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D1-4D06-942E-C595E9388F92}"/>
            </c:ext>
          </c:extLst>
        </c:ser>
        <c:ser>
          <c:idx val="2"/>
          <c:order val="2"/>
          <c:tx>
            <c:v>Resultado (R$ bi)</c:v>
          </c:tx>
          <c:cat>
            <c:numRef>
              <c:f>Q4_ReceitaDespesa!$A$5:$A$14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Q4_ReceitaDespesa!$D$5:$D$14</c:f>
              <c:numCache>
                <c:formatCode>0.00</c:formatCode>
                <c:ptCount val="10"/>
                <c:pt idx="0">
                  <c:v>0.35544512947544482</c:v>
                </c:pt>
                <c:pt idx="1">
                  <c:v>0.64851048311761283</c:v>
                </c:pt>
                <c:pt idx="2">
                  <c:v>0.81816881479287051</c:v>
                </c:pt>
                <c:pt idx="3">
                  <c:v>0.31445890794699288</c:v>
                </c:pt>
                <c:pt idx="4">
                  <c:v>-0.30243475978426171</c:v>
                </c:pt>
                <c:pt idx="5">
                  <c:v>-0.19230135757634162</c:v>
                </c:pt>
                <c:pt idx="6">
                  <c:v>5.7558947908369067E-2</c:v>
                </c:pt>
                <c:pt idx="7">
                  <c:v>3.7639015749948504E-2</c:v>
                </c:pt>
                <c:pt idx="8">
                  <c:v>-0.51648597771961979</c:v>
                </c:pt>
                <c:pt idx="9">
                  <c:v>-6.4511865320001596E-2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D1-4D06-942E-C595E9388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en-US"/>
              <a:t>Educação per capita x IDEB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IDEB</c:v>
          </c:tx>
          <c:xVal>
            <c:numLit>
              <c:ptCount val="0"/>
            </c:numLit>
          </c:xVal>
          <c:yVal>
            <c:numRef>
              <c:f>Q5_Educacao_IDEB!$B$5:$B$12</c:f>
              <c:numCache>
                <c:formatCode>0.0</c:formatCode>
                <c:ptCount val="8"/>
                <c:pt idx="0">
                  <c:v>6.1</c:v>
                </c:pt>
                <c:pt idx="1">
                  <c:v>6</c:v>
                </c:pt>
                <c:pt idx="2">
                  <c:v>5.8</c:v>
                </c:pt>
                <c:pt idx="3">
                  <c:v>5.9</c:v>
                </c:pt>
                <c:pt idx="4">
                  <c:v>6.6</c:v>
                </c:pt>
                <c:pt idx="5">
                  <c:v>6.9</c:v>
                </c:pt>
                <c:pt idx="6">
                  <c:v>7</c:v>
                </c:pt>
                <c:pt idx="7">
                  <c:v>6.7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03-4C64-B6F8-597841A3EDC3}"/>
            </c:ext>
          </c:extLst>
        </c:ser>
        <c:ser>
          <c:idx val="1"/>
          <c:order val="1"/>
          <c:tx>
            <c:v>Ajustado</c:v>
          </c:tx>
          <c:xVal>
            <c:numLit>
              <c:ptCount val="0"/>
            </c:numLit>
          </c:xVal>
          <c:yVal>
            <c:numRef>
              <c:f>Q5_Educacao_IDEB!$C$5:$C$12</c:f>
              <c:numCache>
                <c:formatCode>0.0</c:formatCode>
                <c:ptCount val="8"/>
                <c:pt idx="0">
                  <c:v>5.820650718730457</c:v>
                </c:pt>
                <c:pt idx="1">
                  <c:v>5.921473006141178</c:v>
                </c:pt>
                <c:pt idx="2">
                  <c:v>6.1564525215358863</c:v>
                </c:pt>
                <c:pt idx="3">
                  <c:v>6.4420938593924451</c:v>
                </c:pt>
                <c:pt idx="4">
                  <c:v>6.6587024694222094</c:v>
                </c:pt>
                <c:pt idx="5">
                  <c:v>6.7279918770384022</c:v>
                </c:pt>
                <c:pt idx="6">
                  <c:v>6.616315648137288</c:v>
                </c:pt>
                <c:pt idx="7">
                  <c:v>6.6563198996021136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603-4C64-B6F8-597841A3ED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" sourceLinked="1"/>
        <c:majorTickMark val="none"/>
        <c:minorTickMark val="none"/>
        <c:tickLblPos val="nextTo"/>
        <c:crossAx val="48672768"/>
        <c:crosses val="autoZero"/>
        <c:crossBetween val="midCat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en-US"/>
              <a:t>Receita tributária e proxy de carga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Receita trib. real (R$ bi)</c:v>
          </c:tx>
          <c:xVal>
            <c:numLit>
              <c:ptCount val="0"/>
            </c:numLit>
          </c:xVal>
          <c:yVal>
            <c:numRef>
              <c:f>Q6_Laffer!$B$5:$B$47</c:f>
              <c:numCache>
                <c:formatCode>0.00</c:formatCode>
                <c:ptCount val="43"/>
                <c:pt idx="0">
                  <c:v>1.5662074631709306</c:v>
                </c:pt>
                <c:pt idx="1">
                  <c:v>1.4877421689144439</c:v>
                </c:pt>
                <c:pt idx="2">
                  <c:v>1.5278234841154041</c:v>
                </c:pt>
                <c:pt idx="3">
                  <c:v>1.9237532534891455</c:v>
                </c:pt>
                <c:pt idx="4">
                  <c:v>2.1332032388763111</c:v>
                </c:pt>
                <c:pt idx="5">
                  <c:v>1.9824621679757948</c:v>
                </c:pt>
                <c:pt idx="6">
                  <c:v>1.9635244496980806</c:v>
                </c:pt>
                <c:pt idx="7">
                  <c:v>2.2271412704671585</c:v>
                </c:pt>
                <c:pt idx="8">
                  <c:v>2.3285799156245313</c:v>
                </c:pt>
                <c:pt idx="9">
                  <c:v>0.89553762719959851</c:v>
                </c:pt>
                <c:pt idx="10">
                  <c:v>0.88783943384759834</c:v>
                </c:pt>
                <c:pt idx="11">
                  <c:v>0.9344262057275895</c:v>
                </c:pt>
                <c:pt idx="12">
                  <c:v>1.0593597016524439</c:v>
                </c:pt>
                <c:pt idx="13">
                  <c:v>1.1318127000634464</c:v>
                </c:pt>
                <c:pt idx="14">
                  <c:v>1.1148417965267345</c:v>
                </c:pt>
                <c:pt idx="15">
                  <c:v>1.1148720543351067</c:v>
                </c:pt>
                <c:pt idx="16">
                  <c:v>1.1951566063140722</c:v>
                </c:pt>
                <c:pt idx="17">
                  <c:v>1.2841474205034886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D4-4EB3-B2A6-B377F326B27F}"/>
            </c:ext>
          </c:extLst>
        </c:ser>
        <c:ser>
          <c:idx val="1"/>
          <c:order val="1"/>
          <c:tx>
            <c:v>Ajuste quadrático (R$ bi)</c:v>
          </c:tx>
          <c:xVal>
            <c:numLit>
              <c:ptCount val="0"/>
            </c:numLit>
          </c:xVal>
          <c:yVal>
            <c:numRef>
              <c:f>Q6_Laffer!$C$5:$C$47</c:f>
              <c:numCache>
                <c:formatCode>0.00</c:formatCode>
                <c:ptCount val="43"/>
                <c:pt idx="18">
                  <c:v>1.0017055871532314</c:v>
                </c:pt>
                <c:pt idx="19">
                  <c:v>1.0336321346985771</c:v>
                </c:pt>
                <c:pt idx="20">
                  <c:v>1.0671448704128932</c:v>
                </c:pt>
                <c:pt idx="21">
                  <c:v>1.1022437942961796</c:v>
                </c:pt>
                <c:pt idx="22">
                  <c:v>1.1389289063484369</c:v>
                </c:pt>
                <c:pt idx="23">
                  <c:v>1.1772002065696643</c:v>
                </c:pt>
                <c:pt idx="24">
                  <c:v>1.2170576949598619</c:v>
                </c:pt>
                <c:pt idx="25">
                  <c:v>1.2585013715190305</c:v>
                </c:pt>
                <c:pt idx="26">
                  <c:v>1.3015312362471696</c:v>
                </c:pt>
                <c:pt idx="27">
                  <c:v>1.3461472891442787</c:v>
                </c:pt>
                <c:pt idx="28">
                  <c:v>1.3923495302103588</c:v>
                </c:pt>
                <c:pt idx="29">
                  <c:v>1.4401379594454091</c:v>
                </c:pt>
                <c:pt idx="30">
                  <c:v>1.4895125768494302</c:v>
                </c:pt>
                <c:pt idx="31">
                  <c:v>1.5404733824224213</c:v>
                </c:pt>
                <c:pt idx="32">
                  <c:v>1.5930203761643829</c:v>
                </c:pt>
                <c:pt idx="33">
                  <c:v>1.6471535580753152</c:v>
                </c:pt>
                <c:pt idx="34">
                  <c:v>1.7028729281552182</c:v>
                </c:pt>
                <c:pt idx="35">
                  <c:v>1.7601784864040915</c:v>
                </c:pt>
                <c:pt idx="36">
                  <c:v>1.819070232821935</c:v>
                </c:pt>
                <c:pt idx="37">
                  <c:v>1.8795481674087491</c:v>
                </c:pt>
                <c:pt idx="38">
                  <c:v>1.9416122901645338</c:v>
                </c:pt>
                <c:pt idx="39">
                  <c:v>2.0052626010892887</c:v>
                </c:pt>
                <c:pt idx="40">
                  <c:v>2.0704991001830151</c:v>
                </c:pt>
                <c:pt idx="41">
                  <c:v>2.1373217874457104</c:v>
                </c:pt>
                <c:pt idx="42">
                  <c:v>2.2057306628773774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6D4-4EB3-B2A6-B377F326B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72768"/>
        <c:crosses val="autoZero"/>
        <c:crossBetween val="midCat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en-US"/>
              <a:t>Receita municipal x PIB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Receita real (R$ bi)</c:v>
          </c:tx>
          <c:xVal>
            <c:numLit>
              <c:ptCount val="0"/>
            </c:numLit>
          </c:xVal>
          <c:yVal>
            <c:numRef>
              <c:f>Q7_PIB_Receita!$B$5:$B$42</c:f>
              <c:numCache>
                <c:formatCode>0.00</c:formatCode>
                <c:ptCount val="38"/>
                <c:pt idx="0">
                  <c:v>3.2136163453696356</c:v>
                </c:pt>
                <c:pt idx="1">
                  <c:v>3.7754756748384835</c:v>
                </c:pt>
                <c:pt idx="2">
                  <c:v>3.8127086228207232</c:v>
                </c:pt>
                <c:pt idx="3">
                  <c:v>4.0360196281190222</c:v>
                </c:pt>
                <c:pt idx="4">
                  <c:v>4.020536293552639</c:v>
                </c:pt>
                <c:pt idx="5">
                  <c:v>3.9125214136603188</c:v>
                </c:pt>
                <c:pt idx="6">
                  <c:v>3.843316799277781</c:v>
                </c:pt>
                <c:pt idx="7">
                  <c:v>4.2403240501724113</c:v>
                </c:pt>
                <c:pt idx="8">
                  <c:v>4.5380745183887869</c:v>
                </c:pt>
                <c:pt idx="9">
                  <c:v>4.1024530818861846</c:v>
                </c:pt>
                <c:pt idx="10">
                  <c:v>4.5303899497988942</c:v>
                </c:pt>
                <c:pt idx="11">
                  <c:v>4.1244135023173847</c:v>
                </c:pt>
                <c:pt idx="12">
                  <c:v>3.8646153988775103</c:v>
                </c:pt>
                <c:pt idx="13">
                  <c:v>4.0238126453202261</c:v>
                </c:pt>
                <c:pt idx="14">
                  <c:v>4.1459431376134539</c:v>
                </c:pt>
                <c:pt idx="15">
                  <c:v>4.2523333984121443</c:v>
                </c:pt>
                <c:pt idx="16">
                  <c:v>4.4922388359224819</c:v>
                </c:pt>
                <c:pt idx="17">
                  <c:v>4.4711611669658371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90-49DC-A348-FF0CB26970A6}"/>
            </c:ext>
          </c:extLst>
        </c:ser>
        <c:ser>
          <c:idx val="1"/>
          <c:order val="1"/>
          <c:tx>
            <c:v>Receita ajustada (R$ bi)</c:v>
          </c:tx>
          <c:xVal>
            <c:numLit>
              <c:ptCount val="0"/>
            </c:numLit>
          </c:xVal>
          <c:yVal>
            <c:numRef>
              <c:f>Q7_PIB_Receita!$C$5:$C$42</c:f>
              <c:numCache>
                <c:formatCode>0.00</c:formatCode>
                <c:ptCount val="38"/>
                <c:pt idx="18">
                  <c:v>3.8833816342097807</c:v>
                </c:pt>
                <c:pt idx="19">
                  <c:v>3.9065767600278525</c:v>
                </c:pt>
                <c:pt idx="20">
                  <c:v>3.9297718858459243</c:v>
                </c:pt>
                <c:pt idx="21">
                  <c:v>3.9529670116639961</c:v>
                </c:pt>
                <c:pt idx="22">
                  <c:v>3.9761621374820679</c:v>
                </c:pt>
                <c:pt idx="23">
                  <c:v>3.9993572633001397</c:v>
                </c:pt>
                <c:pt idx="24">
                  <c:v>4.0225523891182116</c:v>
                </c:pt>
                <c:pt idx="25">
                  <c:v>4.0457475149362834</c:v>
                </c:pt>
                <c:pt idx="26">
                  <c:v>4.0689426407543552</c:v>
                </c:pt>
                <c:pt idx="27">
                  <c:v>4.092137766572427</c:v>
                </c:pt>
                <c:pt idx="28">
                  <c:v>4.1153328923904988</c:v>
                </c:pt>
                <c:pt idx="29">
                  <c:v>4.1385280182085706</c:v>
                </c:pt>
                <c:pt idx="30">
                  <c:v>4.1617231440266425</c:v>
                </c:pt>
                <c:pt idx="31">
                  <c:v>4.1849182698447143</c:v>
                </c:pt>
                <c:pt idx="32">
                  <c:v>4.2081133956627861</c:v>
                </c:pt>
                <c:pt idx="33">
                  <c:v>4.2313085214808579</c:v>
                </c:pt>
                <c:pt idx="34">
                  <c:v>4.2545036472989306</c:v>
                </c:pt>
                <c:pt idx="35">
                  <c:v>4.2776987731170024</c:v>
                </c:pt>
                <c:pt idx="36">
                  <c:v>4.3008938989350742</c:v>
                </c:pt>
                <c:pt idx="37">
                  <c:v>4.3240890247531452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590-49DC-A348-FF0CB2697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72768"/>
        <c:crosses val="autoZero"/>
        <c:crossBetween val="midCat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13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8572500" cy="5524500"/>
    <xdr:pic>
      <xdr:nvPicPr>
        <xdr:cNvPr id="2" name="2cbca04d-b031-4303-81df-112cf3e9a80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showGridLines="0" tabSelected="1" workbookViewId="0">
      <selection activeCell="A2" sqref="A2:XFD2"/>
    </sheetView>
  </sheetViews>
  <sheetFormatPr defaultRowHeight="15"/>
  <cols>
    <col min="1" max="1" width="24.875" customWidth="1"/>
    <col min="2" max="2" width="18.5" style="12" customWidth="1"/>
    <col min="3" max="3" width="29" customWidth="1"/>
    <col min="4" max="4" width="18.5" customWidth="1"/>
    <col min="5" max="5" width="27.625" customWidth="1"/>
    <col min="6" max="6" width="18.5" style="12" customWidth="1"/>
    <col min="7" max="7" width="24.875" customWidth="1"/>
    <col min="8" max="8" width="18.5" customWidth="1"/>
  </cols>
  <sheetData>
    <row r="1" spans="1:8" ht="22.5" customHeight="1">
      <c r="A1" s="18" t="s">
        <v>0</v>
      </c>
      <c r="B1" s="21"/>
      <c r="C1" s="21"/>
      <c r="D1" s="21"/>
      <c r="E1" s="21"/>
      <c r="F1" s="21"/>
      <c r="G1" s="21"/>
      <c r="H1" s="21"/>
    </row>
    <row r="2" spans="1:8" ht="14.25"/>
    <row r="3" spans="1:8">
      <c r="A3" s="1" t="s">
        <v>1</v>
      </c>
      <c r="B3" s="10" t="s">
        <v>2</v>
      </c>
      <c r="C3" s="1" t="s">
        <v>3</v>
      </c>
      <c r="D3" s="1"/>
      <c r="E3" s="1" t="s">
        <v>1</v>
      </c>
      <c r="F3" s="10" t="s">
        <v>2</v>
      </c>
      <c r="G3" s="1" t="s">
        <v>3</v>
      </c>
      <c r="H3" s="1"/>
    </row>
    <row r="4" spans="1:8">
      <c r="A4" s="2" t="s">
        <v>4</v>
      </c>
      <c r="B4" s="11">
        <v>0.51465241032577336</v>
      </c>
      <c r="C4" s="2" t="s">
        <v>5</v>
      </c>
      <c r="D4" s="2"/>
      <c r="E4" s="2" t="s">
        <v>6</v>
      </c>
      <c r="F4" s="13">
        <v>6632.1680520478612</v>
      </c>
      <c r="G4" s="2" t="s">
        <v>7</v>
      </c>
    </row>
    <row r="5" spans="1:8">
      <c r="A5" s="2" t="s">
        <v>8</v>
      </c>
      <c r="B5" s="11">
        <v>1.2103661908368989E-2</v>
      </c>
      <c r="C5" s="2" t="s">
        <v>9</v>
      </c>
      <c r="D5" s="2"/>
      <c r="E5" s="2" t="s">
        <v>10</v>
      </c>
      <c r="F5" s="13">
        <v>12077.454410348093</v>
      </c>
      <c r="G5" s="2" t="s">
        <v>7</v>
      </c>
    </row>
    <row r="6" spans="1:8">
      <c r="A6" s="2" t="s">
        <v>11</v>
      </c>
      <c r="B6" s="11">
        <v>0.26486710345412856</v>
      </c>
      <c r="C6" s="2" t="s">
        <v>12</v>
      </c>
      <c r="D6" s="2"/>
      <c r="E6" s="2" t="s">
        <v>13</v>
      </c>
      <c r="F6" s="14">
        <v>17.167989034341002</v>
      </c>
      <c r="G6" s="2" t="s">
        <v>14</v>
      </c>
    </row>
    <row r="7" spans="1:8">
      <c r="A7" s="2" t="s">
        <v>15</v>
      </c>
      <c r="B7" s="11">
        <v>-0.75438900954759147</v>
      </c>
      <c r="C7" s="2" t="s">
        <v>16</v>
      </c>
      <c r="D7" s="2"/>
      <c r="E7" s="2" t="s">
        <v>17</v>
      </c>
      <c r="F7" s="14">
        <v>18.1623555712757</v>
      </c>
      <c r="G7" s="2" t="s">
        <v>14</v>
      </c>
    </row>
    <row r="8" spans="1:8">
      <c r="A8" s="2" t="s">
        <v>18</v>
      </c>
      <c r="B8" s="11" t="s">
        <v>19</v>
      </c>
      <c r="C8" s="2" t="s">
        <v>20</v>
      </c>
      <c r="D8" s="2"/>
      <c r="E8" s="2" t="s">
        <v>21</v>
      </c>
      <c r="F8" s="15">
        <v>20</v>
      </c>
      <c r="G8" s="2" t="s">
        <v>22</v>
      </c>
    </row>
    <row r="9" spans="1:8" ht="14.25"/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4"/>
  <sheetViews>
    <sheetView showGridLines="0" workbookViewId="0">
      <selection activeCell="K22" sqref="K22"/>
    </sheetView>
  </sheetViews>
  <sheetFormatPr defaultRowHeight="15"/>
  <cols>
    <col min="1" max="1" width="23.5" customWidth="1"/>
    <col min="2" max="13" width="17.125" customWidth="1"/>
    <col min="14" max="14" width="22.375" customWidth="1"/>
  </cols>
  <sheetData>
    <row r="1" spans="1:14" ht="22.5" customHeight="1">
      <c r="A1" s="18" t="s">
        <v>23</v>
      </c>
      <c r="B1" s="21"/>
      <c r="C1" s="21"/>
      <c r="D1" s="21"/>
      <c r="E1" s="21"/>
      <c r="F1" s="21"/>
      <c r="G1" s="21"/>
      <c r="H1" s="21"/>
    </row>
    <row r="2" spans="1:14" ht="22.5" customHeight="1">
      <c r="A2" s="19" t="s">
        <v>24</v>
      </c>
      <c r="B2" s="21"/>
      <c r="C2" s="21"/>
      <c r="D2" s="21"/>
      <c r="E2" s="21"/>
      <c r="F2" s="21"/>
      <c r="G2" s="21"/>
      <c r="H2" s="21"/>
    </row>
    <row r="4" spans="1:14" ht="33">
      <c r="A4" s="5" t="s">
        <v>25</v>
      </c>
      <c r="B4" s="5" t="s">
        <v>26</v>
      </c>
      <c r="C4" s="5" t="s">
        <v>27</v>
      </c>
      <c r="D4" s="5" t="s">
        <v>28</v>
      </c>
      <c r="E4" s="5" t="s">
        <v>29</v>
      </c>
      <c r="F4" s="5" t="s">
        <v>30</v>
      </c>
      <c r="G4" s="5" t="s">
        <v>31</v>
      </c>
      <c r="H4" s="5" t="s">
        <v>32</v>
      </c>
      <c r="I4" s="5" t="s">
        <v>33</v>
      </c>
      <c r="J4" s="5" t="s">
        <v>34</v>
      </c>
      <c r="K4" s="5" t="s">
        <v>35</v>
      </c>
      <c r="L4" s="5" t="s">
        <v>36</v>
      </c>
      <c r="M4" s="5" t="s">
        <v>37</v>
      </c>
      <c r="N4" s="5" t="s">
        <v>38</v>
      </c>
    </row>
    <row r="5" spans="1:14">
      <c r="A5" s="2" t="s">
        <v>39</v>
      </c>
      <c r="B5" s="2">
        <v>2015</v>
      </c>
      <c r="C5" s="6">
        <v>433966</v>
      </c>
      <c r="D5" s="3">
        <v>31684399184.76265</v>
      </c>
      <c r="E5" s="3">
        <v>3213616345.3696356</v>
      </c>
      <c r="F5" s="3">
        <v>3337678833.7234435</v>
      </c>
      <c r="G5" s="3">
        <v>1566207463.1709306</v>
      </c>
      <c r="H5" s="3">
        <v>1261847118.2177393</v>
      </c>
      <c r="I5" s="3">
        <v>831901575.52150702</v>
      </c>
      <c r="J5" s="3">
        <v>797861713.08180523</v>
      </c>
      <c r="K5" s="7">
        <v>6.1</v>
      </c>
      <c r="L5" s="7">
        <v>9.4823096740297625</v>
      </c>
      <c r="M5" s="8">
        <v>0.1067</v>
      </c>
      <c r="N5" s="8">
        <v>4.9431502678584351E-2</v>
      </c>
    </row>
    <row r="6" spans="1:14">
      <c r="A6" s="2" t="s">
        <v>39</v>
      </c>
      <c r="B6" s="2">
        <v>2016</v>
      </c>
      <c r="C6" s="6">
        <v>434359</v>
      </c>
      <c r="D6" s="3">
        <v>32275487264.170696</v>
      </c>
      <c r="E6" s="3">
        <v>3775475674.8384833</v>
      </c>
      <c r="F6" s="3">
        <v>3650407319.7534275</v>
      </c>
      <c r="G6" s="3">
        <v>1487742168.914444</v>
      </c>
      <c r="H6" s="3">
        <v>1176189481.923651</v>
      </c>
      <c r="I6" s="3">
        <v>810258064.24973834</v>
      </c>
      <c r="J6" s="3">
        <v>796561064.92691863</v>
      </c>
      <c r="K6" s="7"/>
      <c r="L6" s="7">
        <v>9.86741382128608</v>
      </c>
      <c r="M6" s="8">
        <v>6.2899999999999998E-2</v>
      </c>
      <c r="N6" s="8">
        <v>4.6095111027680741E-2</v>
      </c>
    </row>
    <row r="7" spans="1:14">
      <c r="A7" s="2" t="s">
        <v>39</v>
      </c>
      <c r="B7" s="2">
        <v>2017</v>
      </c>
      <c r="C7" s="6">
        <v>434742</v>
      </c>
      <c r="D7" s="3">
        <v>32365630565.386478</v>
      </c>
      <c r="E7" s="3">
        <v>3812708622.8207231</v>
      </c>
      <c r="F7" s="3">
        <v>3595815914.7957067</v>
      </c>
      <c r="G7" s="3">
        <v>1527823484.1154041</v>
      </c>
      <c r="H7" s="3">
        <v>1185292894.4384384</v>
      </c>
      <c r="I7" s="3">
        <v>797961534.66155744</v>
      </c>
      <c r="J7" s="3">
        <v>773353063.59201336</v>
      </c>
      <c r="K7" s="7">
        <v>6</v>
      </c>
      <c r="L7" s="7">
        <v>9.59649631275561</v>
      </c>
      <c r="M7" s="8">
        <v>2.9500000000000002E-2</v>
      </c>
      <c r="N7" s="8">
        <v>4.7205120290452166E-2</v>
      </c>
    </row>
    <row r="8" spans="1:14">
      <c r="A8" s="2" t="s">
        <v>39</v>
      </c>
      <c r="B8" s="2">
        <v>2018</v>
      </c>
      <c r="C8" s="6">
        <v>432957</v>
      </c>
      <c r="D8" s="3">
        <v>31284832707.166401</v>
      </c>
      <c r="E8" s="3">
        <v>4036019628.1190224</v>
      </c>
      <c r="F8" s="3">
        <v>3658132638.3567872</v>
      </c>
      <c r="G8" s="3">
        <v>1923753253.4891455</v>
      </c>
      <c r="H8" s="3">
        <v>1223914570.768316</v>
      </c>
      <c r="I8" s="3">
        <v>679847527.2697854</v>
      </c>
      <c r="J8" s="3">
        <v>724264791.26662207</v>
      </c>
      <c r="K8" s="7"/>
      <c r="L8" s="7">
        <v>9.6914936125296514</v>
      </c>
      <c r="M8" s="8">
        <v>3.7499999999999999E-2</v>
      </c>
      <c r="N8" s="8">
        <v>6.149156274850312E-2</v>
      </c>
    </row>
    <row r="9" spans="1:14">
      <c r="A9" s="2" t="s">
        <v>39</v>
      </c>
      <c r="B9" s="2">
        <v>2019</v>
      </c>
      <c r="C9" s="6">
        <v>433311</v>
      </c>
      <c r="D9" s="3">
        <v>30363315518.161739</v>
      </c>
      <c r="E9" s="3">
        <v>4020536293.5526385</v>
      </c>
      <c r="F9" s="3">
        <v>4129718283.0105309</v>
      </c>
      <c r="G9" s="3">
        <v>2133203238.8763113</v>
      </c>
      <c r="H9" s="3">
        <v>1270280019.2811944</v>
      </c>
      <c r="I9" s="3">
        <v>713038061.33783937</v>
      </c>
      <c r="J9" s="3">
        <v>834501108.94782853</v>
      </c>
      <c r="K9" s="7">
        <v>5.8</v>
      </c>
      <c r="L9" s="7">
        <v>9.7620415821430786</v>
      </c>
      <c r="M9" s="8">
        <v>4.3099999999999999E-2</v>
      </c>
      <c r="N9" s="8">
        <v>7.0255938868083803E-2</v>
      </c>
    </row>
    <row r="10" spans="1:14">
      <c r="A10" s="2" t="s">
        <v>39</v>
      </c>
      <c r="B10" s="2">
        <v>2020</v>
      </c>
      <c r="C10" s="6">
        <v>433656</v>
      </c>
      <c r="D10" s="3">
        <v>28673159243.173836</v>
      </c>
      <c r="E10" s="3">
        <v>3912521413.6603189</v>
      </c>
      <c r="F10" s="3">
        <v>4109329704.7371745</v>
      </c>
      <c r="G10" s="3">
        <v>1982462167.9757948</v>
      </c>
      <c r="H10" s="3">
        <v>1427365624.553098</v>
      </c>
      <c r="I10" s="3">
        <v>633953537.86152828</v>
      </c>
      <c r="J10" s="3">
        <v>952224792.43761635</v>
      </c>
      <c r="K10" s="7"/>
      <c r="L10" s="7">
        <v>11.423801354068662</v>
      </c>
      <c r="M10" s="8">
        <v>4.5199999999999997E-2</v>
      </c>
      <c r="N10" s="8">
        <v>6.9139997834307562E-2</v>
      </c>
    </row>
    <row r="11" spans="1:14">
      <c r="A11" s="2" t="s">
        <v>39</v>
      </c>
      <c r="B11" s="2">
        <v>2021</v>
      </c>
      <c r="C11" s="6">
        <v>433991</v>
      </c>
      <c r="D11" s="3">
        <v>27949535196.91048</v>
      </c>
      <c r="E11" s="3">
        <v>3843316799.277781</v>
      </c>
      <c r="F11" s="3">
        <v>3955013434.2896819</v>
      </c>
      <c r="G11" s="3">
        <v>1963524449.6980805</v>
      </c>
      <c r="H11" s="3">
        <v>1436815316.1665006</v>
      </c>
      <c r="I11" s="3">
        <v>613959854.11093485</v>
      </c>
      <c r="J11" s="3">
        <v>967623353.81796861</v>
      </c>
      <c r="K11" s="7">
        <v>5.9</v>
      </c>
      <c r="L11" s="7">
        <v>13.179996820210556</v>
      </c>
      <c r="M11" s="8">
        <v>0.10060000000000001</v>
      </c>
      <c r="N11" s="8">
        <v>7.0252490278089746E-2</v>
      </c>
    </row>
    <row r="12" spans="1:14">
      <c r="A12" s="2" t="s">
        <v>39</v>
      </c>
      <c r="B12" s="2">
        <v>2022</v>
      </c>
      <c r="C12" s="6">
        <v>418608</v>
      </c>
      <c r="D12" s="3">
        <v>30172710006.889</v>
      </c>
      <c r="E12" s="3">
        <v>4240324050.1724114</v>
      </c>
      <c r="F12" s="3">
        <v>4280045215.1038532</v>
      </c>
      <c r="G12" s="3">
        <v>2227141270.4671583</v>
      </c>
      <c r="H12" s="3">
        <v>1570804439.9671392</v>
      </c>
      <c r="I12" s="3">
        <v>797121936.05063808</v>
      </c>
      <c r="J12" s="3">
        <v>883478763.65212035</v>
      </c>
      <c r="K12" s="7"/>
      <c r="L12" s="7">
        <v>11.459408324733403</v>
      </c>
      <c r="M12" s="8">
        <v>5.79E-2</v>
      </c>
      <c r="N12" s="8">
        <v>7.38131003134508E-2</v>
      </c>
    </row>
    <row r="13" spans="1:14">
      <c r="A13" s="2" t="s">
        <v>39</v>
      </c>
      <c r="B13" s="2">
        <v>2023</v>
      </c>
      <c r="C13" s="6"/>
      <c r="D13" s="3">
        <v>32457539513.263161</v>
      </c>
      <c r="E13" s="3">
        <v>4538074518.3887873</v>
      </c>
      <c r="F13" s="3">
        <v>4812848470.1012068</v>
      </c>
      <c r="G13" s="3">
        <v>2328579915.6245313</v>
      </c>
      <c r="H13" s="3">
        <v>1627497212.1095569</v>
      </c>
      <c r="I13" s="3">
        <v>845184134.26970196</v>
      </c>
      <c r="J13" s="3">
        <v>948145160.75066614</v>
      </c>
      <c r="K13" s="7">
        <v>5.9</v>
      </c>
      <c r="L13" s="7"/>
      <c r="M13" s="8">
        <v>4.6199999999999998E-2</v>
      </c>
      <c r="N13" s="8">
        <v>7.1742342474019047E-2</v>
      </c>
    </row>
    <row r="14" spans="1:14">
      <c r="A14" s="2" t="s">
        <v>39</v>
      </c>
      <c r="B14" s="2">
        <v>2024</v>
      </c>
      <c r="C14" s="6">
        <v>429567</v>
      </c>
      <c r="D14" s="3"/>
      <c r="E14" s="3">
        <v>5188075858.6899996</v>
      </c>
      <c r="F14" s="3">
        <v>5171875878.5</v>
      </c>
      <c r="G14" s="3">
        <v>2486315217.4699998</v>
      </c>
      <c r="H14" s="3">
        <v>1938126442.05</v>
      </c>
      <c r="I14" s="3">
        <v>893581482.96000004</v>
      </c>
      <c r="J14" s="3">
        <v>1078461681.78</v>
      </c>
      <c r="K14" s="7"/>
      <c r="L14" s="7">
        <v>11.004104132766249</v>
      </c>
      <c r="M14" s="8">
        <v>4.8300000000000003E-2</v>
      </c>
      <c r="N14" s="8"/>
    </row>
    <row r="15" spans="1:14">
      <c r="A15" s="2" t="s">
        <v>40</v>
      </c>
      <c r="B15" s="2">
        <v>2015</v>
      </c>
      <c r="C15" s="6">
        <v>688597</v>
      </c>
      <c r="D15" s="3">
        <v>53555343112.101257</v>
      </c>
      <c r="E15" s="3">
        <v>4102453081.8861847</v>
      </c>
      <c r="F15" s="3">
        <v>3622945464.056932</v>
      </c>
      <c r="G15" s="3">
        <v>895537627.19959855</v>
      </c>
      <c r="H15" s="3">
        <v>2252055996.4796925</v>
      </c>
      <c r="I15" s="3">
        <v>853589132.67286468</v>
      </c>
      <c r="J15" s="3">
        <v>900098698.59385026</v>
      </c>
      <c r="K15" s="7">
        <v>6.6</v>
      </c>
      <c r="L15" s="7">
        <v>5.4356902513371397</v>
      </c>
      <c r="M15" s="8">
        <v>0.1067</v>
      </c>
      <c r="N15" s="8">
        <v>1.672172327091757E-2</v>
      </c>
    </row>
    <row r="16" spans="1:14">
      <c r="A16" s="2" t="s">
        <v>40</v>
      </c>
      <c r="B16" s="2">
        <v>2016</v>
      </c>
      <c r="C16" s="6">
        <v>695992</v>
      </c>
      <c r="D16" s="3">
        <v>61895751496.42984</v>
      </c>
      <c r="E16" s="3">
        <v>4530389949.7988939</v>
      </c>
      <c r="F16" s="3">
        <v>4006947821.7663364</v>
      </c>
      <c r="G16" s="3">
        <v>887839433.84759831</v>
      </c>
      <c r="H16" s="3">
        <v>2145002182.4882751</v>
      </c>
      <c r="I16" s="3">
        <v>898722379.98072743</v>
      </c>
      <c r="J16" s="3">
        <v>893427338.85137999</v>
      </c>
      <c r="K16" s="7"/>
      <c r="L16" s="7">
        <v>5.5604087403303488</v>
      </c>
      <c r="M16" s="8">
        <v>6.2899999999999998E-2</v>
      </c>
      <c r="N16" s="8">
        <v>1.4344109448268175E-2</v>
      </c>
    </row>
    <row r="17" spans="1:14">
      <c r="A17" s="2" t="s">
        <v>40</v>
      </c>
      <c r="B17" s="2">
        <v>2017</v>
      </c>
      <c r="C17" s="6">
        <v>703219</v>
      </c>
      <c r="D17" s="3">
        <v>56897506684.179268</v>
      </c>
      <c r="E17" s="3">
        <v>4124413502.3173842</v>
      </c>
      <c r="F17" s="3">
        <v>3523137395.54953</v>
      </c>
      <c r="G17" s="3">
        <v>934426205.72758949</v>
      </c>
      <c r="H17" s="3">
        <v>2203853487.0348248</v>
      </c>
      <c r="I17" s="3">
        <v>832331438.0148145</v>
      </c>
      <c r="J17" s="3">
        <v>886206376.24935639</v>
      </c>
      <c r="K17" s="7">
        <v>6.9</v>
      </c>
      <c r="L17" s="7">
        <v>5.3639051277055936</v>
      </c>
      <c r="M17" s="8">
        <v>2.9500000000000002E-2</v>
      </c>
      <c r="N17" s="8">
        <v>1.642297281872657E-2</v>
      </c>
    </row>
    <row r="18" spans="1:14">
      <c r="A18" s="2" t="s">
        <v>40</v>
      </c>
      <c r="B18" s="2">
        <v>2018</v>
      </c>
      <c r="C18" s="6">
        <v>713943</v>
      </c>
      <c r="D18" s="3">
        <v>55258691393.28434</v>
      </c>
      <c r="E18" s="3">
        <v>3864615398.8775101</v>
      </c>
      <c r="F18" s="3">
        <v>3928043480.6927528</v>
      </c>
      <c r="G18" s="3">
        <v>1059359701.6524438</v>
      </c>
      <c r="H18" s="3">
        <v>2280349924.3104954</v>
      </c>
      <c r="I18" s="3">
        <v>860718525.19501591</v>
      </c>
      <c r="J18" s="3">
        <v>908039212.57084155</v>
      </c>
      <c r="K18" s="7"/>
      <c r="L18" s="7">
        <v>5.5704727128076055</v>
      </c>
      <c r="M18" s="8">
        <v>3.7499999999999999E-2</v>
      </c>
      <c r="N18" s="8">
        <v>1.9170915469438516E-2</v>
      </c>
    </row>
    <row r="19" spans="1:14">
      <c r="A19" s="2" t="s">
        <v>40</v>
      </c>
      <c r="B19" s="2">
        <v>2019</v>
      </c>
      <c r="C19" s="6">
        <v>721944</v>
      </c>
      <c r="D19" s="3">
        <v>58138991427.094589</v>
      </c>
      <c r="E19" s="3">
        <v>4023812645.3202262</v>
      </c>
      <c r="F19" s="3">
        <v>4217065415.6465955</v>
      </c>
      <c r="G19" s="3">
        <v>1131812700.0634463</v>
      </c>
      <c r="H19" s="3">
        <v>2347785880.8534732</v>
      </c>
      <c r="I19" s="3">
        <v>919659925.59314966</v>
      </c>
      <c r="J19" s="3">
        <v>932317432.36276948</v>
      </c>
      <c r="K19" s="7">
        <v>7</v>
      </c>
      <c r="L19" s="7">
        <v>5.8314772336912553</v>
      </c>
      <c r="M19" s="8">
        <v>4.3099999999999999E-2</v>
      </c>
      <c r="N19" s="8">
        <v>1.9467360411346699E-2</v>
      </c>
    </row>
    <row r="20" spans="1:14">
      <c r="A20" s="2" t="s">
        <v>40</v>
      </c>
      <c r="B20" s="2">
        <v>2020</v>
      </c>
      <c r="C20" s="6">
        <v>729737</v>
      </c>
      <c r="D20" s="3">
        <v>50264838401.050972</v>
      </c>
      <c r="E20" s="3">
        <v>4145943137.6134539</v>
      </c>
      <c r="F20" s="3">
        <v>4141436204.1129408</v>
      </c>
      <c r="G20" s="3">
        <v>1114841796.5267346</v>
      </c>
      <c r="H20" s="3">
        <v>2416792337.8906198</v>
      </c>
      <c r="I20" s="3">
        <v>850856489.19887555</v>
      </c>
      <c r="J20" s="3">
        <v>1003621370.4545472</v>
      </c>
      <c r="K20" s="7"/>
      <c r="L20" s="7">
        <v>6.3735290933582913</v>
      </c>
      <c r="M20" s="8">
        <v>4.5199999999999997E-2</v>
      </c>
      <c r="N20" s="8">
        <v>2.2179357021536245E-2</v>
      </c>
    </row>
    <row r="21" spans="1:14">
      <c r="A21" s="2" t="s">
        <v>40</v>
      </c>
      <c r="B21" s="2">
        <v>2021</v>
      </c>
      <c r="C21" s="6">
        <v>737310</v>
      </c>
      <c r="D21" s="3">
        <v>52451477638.054657</v>
      </c>
      <c r="E21" s="3">
        <v>4252333398.4121447</v>
      </c>
      <c r="F21" s="3">
        <v>4083077815.4918752</v>
      </c>
      <c r="G21" s="3">
        <v>1114872054.3351066</v>
      </c>
      <c r="H21" s="3">
        <v>2518758314.3959641</v>
      </c>
      <c r="I21" s="3">
        <v>915393944.07261074</v>
      </c>
      <c r="J21" s="3">
        <v>965305270.53216898</v>
      </c>
      <c r="K21" s="7">
        <v>6.7</v>
      </c>
      <c r="L21" s="7">
        <v>7.729448942778478</v>
      </c>
      <c r="M21" s="8">
        <v>0.10060000000000001</v>
      </c>
      <c r="N21" s="8">
        <v>2.1255303082753255E-2</v>
      </c>
    </row>
    <row r="22" spans="1:14">
      <c r="A22" s="2" t="s">
        <v>40</v>
      </c>
      <c r="B22" s="2">
        <v>2022</v>
      </c>
      <c r="C22" s="6">
        <v>697054</v>
      </c>
      <c r="D22" s="3">
        <v>62134902104.156731</v>
      </c>
      <c r="E22" s="3">
        <v>4492238835.9224815</v>
      </c>
      <c r="F22" s="3">
        <v>4414878655.2410917</v>
      </c>
      <c r="G22" s="3">
        <v>1195156606.3140721</v>
      </c>
      <c r="H22" s="3">
        <v>2657493093.7005105</v>
      </c>
      <c r="I22" s="3">
        <v>1058412852.2013541</v>
      </c>
      <c r="J22" s="3">
        <v>1013232292.6122946</v>
      </c>
      <c r="K22" s="7"/>
      <c r="L22" s="7">
        <v>6.893296645597041</v>
      </c>
      <c r="M22" s="8">
        <v>5.79E-2</v>
      </c>
      <c r="N22" s="8">
        <v>1.9234867455180524E-2</v>
      </c>
    </row>
    <row r="23" spans="1:14">
      <c r="A23" s="2" t="s">
        <v>40</v>
      </c>
      <c r="B23" s="2">
        <v>2023</v>
      </c>
      <c r="C23" s="6"/>
      <c r="D23" s="3">
        <v>64360614247.180458</v>
      </c>
      <c r="E23" s="3">
        <v>4471161166.9658375</v>
      </c>
      <c r="F23" s="3">
        <v>4712873192.9730396</v>
      </c>
      <c r="G23" s="3">
        <v>1284147420.5034885</v>
      </c>
      <c r="H23" s="3">
        <v>2569667058.7393584</v>
      </c>
      <c r="I23" s="3">
        <v>1085236277.6057434</v>
      </c>
      <c r="J23" s="3">
        <v>1051308669.7679111</v>
      </c>
      <c r="K23" s="7">
        <v>6.8</v>
      </c>
      <c r="L23" s="7"/>
      <c r="M23" s="8">
        <v>4.6199999999999998E-2</v>
      </c>
      <c r="N23" s="8">
        <v>1.995237981371107E-2</v>
      </c>
    </row>
    <row r="24" spans="1:14">
      <c r="A24" s="2" t="s">
        <v>40</v>
      </c>
      <c r="B24" s="2">
        <v>2024</v>
      </c>
      <c r="C24" s="6">
        <v>724756</v>
      </c>
      <c r="D24" s="3"/>
      <c r="E24" s="3">
        <v>4806703588.7299995</v>
      </c>
      <c r="F24" s="3">
        <v>4887415434.2399998</v>
      </c>
      <c r="G24" s="3">
        <v>1368945023.3499999</v>
      </c>
      <c r="H24" s="3">
        <v>2828848874.3699999</v>
      </c>
      <c r="I24" s="3">
        <v>1173604001.1099999</v>
      </c>
      <c r="J24" s="3">
        <v>1100623778.4100001</v>
      </c>
      <c r="K24" s="7"/>
      <c r="L24" s="7">
        <v>6.9375072438172296</v>
      </c>
      <c r="M24" s="8">
        <v>4.8300000000000003E-2</v>
      </c>
      <c r="N24" s="8"/>
    </row>
  </sheetData>
  <mergeCells count="2">
    <mergeCell ref="A1:H1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showGridLines="0" workbookViewId="0">
      <selection activeCell="F24" sqref="F24"/>
    </sheetView>
  </sheetViews>
  <sheetFormatPr defaultRowHeight="15"/>
  <cols>
    <col min="1" max="6" width="16.125" customWidth="1"/>
  </cols>
  <sheetData>
    <row r="1" spans="1:8" ht="22.5" customHeight="1">
      <c r="A1" s="18" t="s">
        <v>41</v>
      </c>
      <c r="B1" s="21"/>
      <c r="C1" s="21"/>
      <c r="D1" s="21"/>
      <c r="E1" s="21"/>
      <c r="F1" s="21"/>
      <c r="G1" s="21"/>
      <c r="H1" s="21"/>
    </row>
    <row r="2" spans="1:8" ht="22.5" customHeight="1">
      <c r="A2" s="19" t="s">
        <v>42</v>
      </c>
      <c r="B2" s="21"/>
      <c r="C2" s="21"/>
      <c r="D2" s="21"/>
      <c r="E2" s="21"/>
      <c r="F2" s="21"/>
      <c r="G2" s="21"/>
      <c r="H2" s="21"/>
    </row>
    <row r="4" spans="1:8" ht="33">
      <c r="A4" s="5" t="s">
        <v>43</v>
      </c>
      <c r="B4" s="5" t="s">
        <v>44</v>
      </c>
      <c r="C4" s="5" t="s">
        <v>45</v>
      </c>
      <c r="D4" s="5" t="s">
        <v>46</v>
      </c>
      <c r="E4" s="5" t="s">
        <v>47</v>
      </c>
      <c r="F4" s="5" t="s">
        <v>48</v>
      </c>
    </row>
    <row r="5" spans="1:8">
      <c r="A5" s="2">
        <v>2015</v>
      </c>
      <c r="B5" s="2">
        <v>0.37074125768134503</v>
      </c>
      <c r="C5" s="2">
        <v>8.6662698707932808</v>
      </c>
      <c r="D5" s="2">
        <v>7.4880000000000004</v>
      </c>
      <c r="E5" s="2">
        <v>13.835809997370401</v>
      </c>
      <c r="F5" s="2">
        <v>17.095615857288301</v>
      </c>
    </row>
    <row r="6" spans="1:8">
      <c r="A6" s="2">
        <v>2016</v>
      </c>
      <c r="B6" s="2">
        <v>1.6897982297177501</v>
      </c>
      <c r="C6" s="2">
        <v>9.6394134763507999</v>
      </c>
      <c r="D6" s="2">
        <v>7.8410000000000002</v>
      </c>
      <c r="E6" s="2">
        <v>15.944832285798199</v>
      </c>
      <c r="F6" s="2">
        <v>21.7322482220825</v>
      </c>
    </row>
    <row r="7" spans="1:8">
      <c r="A7" s="2">
        <v>2017</v>
      </c>
      <c r="B7" s="2">
        <v>1.7403764337421099</v>
      </c>
      <c r="C7" s="2">
        <v>6.2180938256185998</v>
      </c>
      <c r="D7" s="2">
        <v>7.89</v>
      </c>
      <c r="E7" s="2">
        <v>16.494347973715598</v>
      </c>
      <c r="F7" s="2">
        <v>18.077476023770799</v>
      </c>
    </row>
    <row r="8" spans="1:8">
      <c r="A8" s="2">
        <v>2018</v>
      </c>
      <c r="B8" s="2">
        <v>0.16477760894011301</v>
      </c>
      <c r="C8" s="2">
        <v>7.6065336037704698</v>
      </c>
      <c r="D8" s="2">
        <v>8.3360000000000003</v>
      </c>
      <c r="E8" s="2">
        <v>16.8898046110751</v>
      </c>
      <c r="F8" s="2">
        <v>18.324704180693701</v>
      </c>
    </row>
    <row r="9" spans="1:8">
      <c r="A9" s="2">
        <v>2019</v>
      </c>
      <c r="B9" s="2">
        <v>0.92835114126749796</v>
      </c>
      <c r="C9" s="2">
        <v>7.8819887087961904</v>
      </c>
      <c r="D9" s="2">
        <v>8.8360000000000003</v>
      </c>
      <c r="E9" s="2">
        <v>17.2836793288606</v>
      </c>
      <c r="F9" s="2">
        <v>17.8650944074869</v>
      </c>
    </row>
    <row r="10" spans="1:8">
      <c r="A10" s="2">
        <v>2020</v>
      </c>
      <c r="B10" s="2">
        <v>-7.3573270648472304</v>
      </c>
      <c r="C10" s="2">
        <v>9.7564063607819396</v>
      </c>
      <c r="D10" s="2">
        <v>10.413</v>
      </c>
      <c r="E10" s="2">
        <v>18.052620998676101</v>
      </c>
      <c r="F10" s="2">
        <v>18.552647696456301</v>
      </c>
    </row>
    <row r="11" spans="1:8">
      <c r="A11" s="2">
        <v>2021</v>
      </c>
      <c r="B11" s="2">
        <v>5.8442731255817897</v>
      </c>
      <c r="C11" s="2">
        <v>7.7479140231476196</v>
      </c>
      <c r="D11" s="2">
        <v>9.3279999999999994</v>
      </c>
      <c r="E11" s="2">
        <v>16.827423331656199</v>
      </c>
      <c r="F11" s="2">
        <v>17.817413108266798</v>
      </c>
    </row>
    <row r="12" spans="1:8">
      <c r="A12" s="2">
        <v>2022</v>
      </c>
      <c r="B12" s="2">
        <v>4.4862270307207304</v>
      </c>
      <c r="C12" s="2">
        <v>9.10437983075437</v>
      </c>
      <c r="D12" s="2">
        <v>7.8769999999999998</v>
      </c>
      <c r="E12" s="2">
        <v>16.351925604524101</v>
      </c>
      <c r="F12" s="2">
        <v>18.5974753264661</v>
      </c>
    </row>
    <row r="13" spans="1:8">
      <c r="A13" s="2">
        <v>2023</v>
      </c>
      <c r="B13" s="2">
        <v>0.74212878531592696</v>
      </c>
      <c r="C13" s="2">
        <v>5.8691035989611899</v>
      </c>
      <c r="D13" s="2">
        <v>8.3550000000000004</v>
      </c>
      <c r="E13" s="2">
        <v>16.996364019644702</v>
      </c>
      <c r="F13" s="2">
        <v>18.657999158829199</v>
      </c>
    </row>
    <row r="14" spans="1:8">
      <c r="A14" s="2">
        <v>2024</v>
      </c>
      <c r="B14" s="2">
        <v>3.1082547806617198</v>
      </c>
      <c r="C14" s="2">
        <v>4.8491436661315603</v>
      </c>
      <c r="D14" s="2">
        <v>8.2089999999999996</v>
      </c>
      <c r="E14" s="2">
        <v>17.167989034341002</v>
      </c>
      <c r="F14" s="2">
        <v>18.1623555712757</v>
      </c>
    </row>
  </sheetData>
  <mergeCells count="2">
    <mergeCell ref="A1:H1"/>
    <mergeCell ref="A2:H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showGridLines="0" workbookViewId="0">
      <selection activeCell="C21" sqref="C21"/>
    </sheetView>
  </sheetViews>
  <sheetFormatPr defaultRowHeight="15"/>
  <cols>
    <col min="1" max="4" width="17.5" customWidth="1"/>
  </cols>
  <sheetData>
    <row r="1" spans="1:8" ht="22.5" customHeight="1">
      <c r="A1" s="18" t="s">
        <v>49</v>
      </c>
      <c r="B1" s="21"/>
      <c r="C1" s="21"/>
      <c r="D1" s="21"/>
      <c r="E1" s="21"/>
      <c r="F1" s="21"/>
      <c r="G1" s="21"/>
      <c r="H1" s="21"/>
    </row>
    <row r="2" spans="1:8" ht="22.5" customHeight="1">
      <c r="A2" s="19" t="s">
        <v>50</v>
      </c>
      <c r="B2" s="21"/>
      <c r="C2" s="21"/>
      <c r="D2" s="21"/>
      <c r="E2" s="21"/>
      <c r="F2" s="21"/>
      <c r="G2" s="21"/>
      <c r="H2" s="21"/>
    </row>
    <row r="4" spans="1:8">
      <c r="A4" s="5" t="s">
        <v>43</v>
      </c>
      <c r="B4" s="5" t="s">
        <v>51</v>
      </c>
      <c r="C4" s="5" t="s">
        <v>52</v>
      </c>
      <c r="D4" s="5" t="s">
        <v>53</v>
      </c>
    </row>
    <row r="5" spans="1:8">
      <c r="A5" s="2">
        <v>2015</v>
      </c>
      <c r="B5" s="7">
        <v>33.648465406839421</v>
      </c>
      <c r="C5" s="7">
        <v>48.029931230647975</v>
      </c>
      <c r="D5" s="7">
        <v>18.321603362512612</v>
      </c>
    </row>
    <row r="6" spans="1:8">
      <c r="A6" s="2">
        <v>2016</v>
      </c>
      <c r="B6" s="7">
        <v>28.601252537910604</v>
      </c>
      <c r="C6" s="7">
        <v>39.986099155762886</v>
      </c>
      <c r="D6" s="7">
        <v>31.412648306326517</v>
      </c>
    </row>
    <row r="7" spans="1:8">
      <c r="A7" s="2">
        <v>2017</v>
      </c>
      <c r="B7" s="7">
        <v>31.021945372928862</v>
      </c>
      <c r="C7" s="7">
        <v>42.699939953541929</v>
      </c>
      <c r="D7" s="7">
        <v>26.278114673529206</v>
      </c>
    </row>
    <row r="8" spans="1:8">
      <c r="A8" s="2">
        <v>2018</v>
      </c>
      <c r="B8" s="7">
        <v>37.757888384266188</v>
      </c>
      <c r="C8" s="7">
        <v>44.35421308672926</v>
      </c>
      <c r="D8" s="7">
        <v>17.887898529004559</v>
      </c>
    </row>
    <row r="9" spans="1:8">
      <c r="A9" s="2">
        <v>2019</v>
      </c>
      <c r="B9" s="7">
        <v>40.587696577434087</v>
      </c>
      <c r="C9" s="7">
        <v>44.976491293795284</v>
      </c>
      <c r="D9" s="7">
        <v>14.435812128770614</v>
      </c>
    </row>
    <row r="10" spans="1:8">
      <c r="A10" s="2">
        <v>2020</v>
      </c>
      <c r="B10" s="7">
        <v>38.435410924689734</v>
      </c>
      <c r="C10" s="7">
        <v>47.703355124098493</v>
      </c>
      <c r="D10" s="7">
        <v>13.861233951211775</v>
      </c>
    </row>
    <row r="11" spans="1:8">
      <c r="A11" s="2">
        <v>2021</v>
      </c>
      <c r="B11" s="7">
        <v>38.025315186068681</v>
      </c>
      <c r="C11" s="7">
        <v>48.860481048096396</v>
      </c>
      <c r="D11" s="7">
        <v>13.114203765834908</v>
      </c>
    </row>
    <row r="12" spans="1:8">
      <c r="A12" s="2">
        <v>2022</v>
      </c>
      <c r="B12" s="7">
        <v>39.190074224723332</v>
      </c>
      <c r="C12" s="7">
        <v>48.419892176218823</v>
      </c>
      <c r="D12" s="7">
        <v>12.390033599057846</v>
      </c>
    </row>
    <row r="13" spans="1:8">
      <c r="A13" s="2">
        <v>2023</v>
      </c>
      <c r="B13" s="7">
        <v>40.100264465284816</v>
      </c>
      <c r="C13" s="7">
        <v>46.58735121861455</v>
      </c>
      <c r="D13" s="7">
        <v>13.312384316100623</v>
      </c>
    </row>
    <row r="14" spans="1:8">
      <c r="A14" s="2">
        <v>2024</v>
      </c>
      <c r="B14" s="7">
        <v>38.572739509676495</v>
      </c>
      <c r="C14" s="7">
        <v>47.694652408268226</v>
      </c>
      <c r="D14" s="7">
        <v>13.73260808205529</v>
      </c>
    </row>
  </sheetData>
  <mergeCells count="2">
    <mergeCell ref="A1:H1"/>
    <mergeCell ref="A2:H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"/>
  <sheetViews>
    <sheetView showGridLines="0" workbookViewId="0">
      <selection activeCell="D25" sqref="D25"/>
    </sheetView>
  </sheetViews>
  <sheetFormatPr defaultRowHeight="15"/>
  <cols>
    <col min="1" max="4" width="19.5" customWidth="1"/>
  </cols>
  <sheetData>
    <row r="1" spans="1:8" ht="22.5" customHeight="1">
      <c r="A1" s="18" t="s">
        <v>54</v>
      </c>
      <c r="B1" s="21"/>
      <c r="C1" s="21"/>
      <c r="D1" s="21"/>
      <c r="E1" s="21"/>
      <c r="F1" s="21"/>
      <c r="G1" s="21"/>
      <c r="H1" s="21"/>
    </row>
    <row r="2" spans="1:8" ht="22.5" customHeight="1">
      <c r="A2" s="19" t="s">
        <v>55</v>
      </c>
      <c r="B2" s="21"/>
      <c r="C2" s="21"/>
      <c r="D2" s="21"/>
      <c r="E2" s="21"/>
      <c r="F2" s="21"/>
      <c r="G2" s="21"/>
      <c r="H2" s="21"/>
    </row>
    <row r="4" spans="1:8">
      <c r="A4" s="5" t="s">
        <v>43</v>
      </c>
      <c r="B4" s="5" t="s">
        <v>56</v>
      </c>
      <c r="C4" s="5" t="s">
        <v>57</v>
      </c>
      <c r="D4" s="5" t="s">
        <v>58</v>
      </c>
    </row>
    <row r="5" spans="1:8">
      <c r="A5" s="2">
        <v>2015</v>
      </c>
      <c r="B5" s="4">
        <v>7.3160694272558207</v>
      </c>
      <c r="C5" s="4">
        <v>6.9606242977803756</v>
      </c>
      <c r="D5" s="4">
        <v>0.35544512947544482</v>
      </c>
    </row>
    <row r="6" spans="1:8">
      <c r="A6" s="2">
        <v>2016</v>
      </c>
      <c r="B6" s="4">
        <v>8.3058656246373772</v>
      </c>
      <c r="C6" s="4">
        <v>7.6573551415197638</v>
      </c>
      <c r="D6" s="4">
        <v>0.64851048311761283</v>
      </c>
    </row>
    <row r="7" spans="1:8">
      <c r="A7" s="2">
        <v>2017</v>
      </c>
      <c r="B7" s="4">
        <v>7.9371221251381074</v>
      </c>
      <c r="C7" s="4">
        <v>7.1189533103452369</v>
      </c>
      <c r="D7" s="4">
        <v>0.81816881479287051</v>
      </c>
    </row>
    <row r="8" spans="1:8">
      <c r="A8" s="2">
        <v>2018</v>
      </c>
      <c r="B8" s="4">
        <v>7.9006350269965324</v>
      </c>
      <c r="C8" s="4">
        <v>7.5861761190495391</v>
      </c>
      <c r="D8" s="4">
        <v>0.31445890794699288</v>
      </c>
    </row>
    <row r="9" spans="1:8">
      <c r="A9" s="2">
        <v>2019</v>
      </c>
      <c r="B9" s="4">
        <v>8.0443489388728651</v>
      </c>
      <c r="C9" s="4">
        <v>8.3467836986571271</v>
      </c>
      <c r="D9" s="4">
        <v>-0.30243475978426171</v>
      </c>
    </row>
    <row r="10" spans="1:8">
      <c r="A10" s="2">
        <v>2020</v>
      </c>
      <c r="B10" s="4">
        <v>8.058464551273774</v>
      </c>
      <c r="C10" s="4">
        <v>8.2507659088501146</v>
      </c>
      <c r="D10" s="4">
        <v>-0.19230135757634162</v>
      </c>
    </row>
    <row r="11" spans="1:8">
      <c r="A11" s="2">
        <v>2021</v>
      </c>
      <c r="B11" s="4">
        <v>8.0956501976899258</v>
      </c>
      <c r="C11" s="4">
        <v>8.0380912497815569</v>
      </c>
      <c r="D11" s="4">
        <v>5.7558947908369067E-2</v>
      </c>
    </row>
    <row r="12" spans="1:8">
      <c r="A12" s="2">
        <v>2022</v>
      </c>
      <c r="B12" s="4">
        <v>8.7325628860948932</v>
      </c>
      <c r="C12" s="4">
        <v>8.6949238703449439</v>
      </c>
      <c r="D12" s="4">
        <v>3.7639015749948504E-2</v>
      </c>
    </row>
    <row r="13" spans="1:8">
      <c r="A13" s="2">
        <v>2023</v>
      </c>
      <c r="B13" s="4">
        <v>9.0092356853546249</v>
      </c>
      <c r="C13" s="4">
        <v>9.5257216630742452</v>
      </c>
      <c r="D13" s="4">
        <v>-0.51648597771961979</v>
      </c>
    </row>
    <row r="14" spans="1:8">
      <c r="A14" s="2">
        <v>2024</v>
      </c>
      <c r="B14" s="4">
        <v>9.9947794474199974</v>
      </c>
      <c r="C14" s="4">
        <v>10.059291312739999</v>
      </c>
      <c r="D14" s="4">
        <v>-6.4511865320001596E-2</v>
      </c>
    </row>
    <row r="16" spans="1:8">
      <c r="D16" s="16"/>
    </row>
  </sheetData>
  <mergeCells count="2">
    <mergeCell ref="A1:H1"/>
    <mergeCell ref="A2:H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3"/>
  <sheetViews>
    <sheetView showGridLines="0" workbookViewId="0">
      <selection activeCell="C14" sqref="C14"/>
    </sheetView>
  </sheetViews>
  <sheetFormatPr defaultRowHeight="15"/>
  <cols>
    <col min="1" max="4" width="20.875" customWidth="1"/>
  </cols>
  <sheetData>
    <row r="1" spans="1:8" ht="22.5" customHeight="1">
      <c r="A1" s="18" t="s">
        <v>59</v>
      </c>
      <c r="B1" s="21"/>
      <c r="C1" s="21"/>
      <c r="D1" s="21"/>
      <c r="E1" s="21"/>
      <c r="F1" s="21"/>
      <c r="G1" s="21"/>
      <c r="H1" s="21"/>
    </row>
    <row r="2" spans="1:8" ht="22.5" customHeight="1">
      <c r="A2" s="19" t="s">
        <v>60</v>
      </c>
      <c r="B2" s="21"/>
      <c r="C2" s="21"/>
      <c r="D2" s="21"/>
      <c r="E2" s="21"/>
      <c r="F2" s="21"/>
      <c r="G2" s="21"/>
      <c r="H2" s="21"/>
    </row>
    <row r="4" spans="1:8">
      <c r="A4" s="5" t="s">
        <v>61</v>
      </c>
      <c r="B4" s="5" t="s">
        <v>62</v>
      </c>
      <c r="C4" s="5" t="s">
        <v>63</v>
      </c>
      <c r="D4" s="5" t="s">
        <v>64</v>
      </c>
    </row>
    <row r="5" spans="1:8">
      <c r="A5" s="13">
        <v>1916.9740844248329</v>
      </c>
      <c r="B5" s="17">
        <v>6.1</v>
      </c>
      <c r="C5" s="17">
        <v>5.820650718730457</v>
      </c>
      <c r="D5" s="15" t="s">
        <v>65</v>
      </c>
    </row>
    <row r="6" spans="1:8">
      <c r="A6" s="13">
        <v>1835.4829638304038</v>
      </c>
      <c r="B6" s="17">
        <v>6</v>
      </c>
      <c r="C6" s="17">
        <v>5.921473006141178</v>
      </c>
      <c r="D6" s="15" t="s">
        <v>66</v>
      </c>
    </row>
    <row r="7" spans="1:8">
      <c r="A7" s="13">
        <v>1645.5572587306563</v>
      </c>
      <c r="B7" s="17">
        <v>5.8</v>
      </c>
      <c r="C7" s="17">
        <v>6.1564525215358863</v>
      </c>
      <c r="D7" s="15" t="s">
        <v>67</v>
      </c>
    </row>
    <row r="8" spans="1:8">
      <c r="A8" s="13">
        <v>1414.683378482353</v>
      </c>
      <c r="B8" s="17">
        <v>5.9</v>
      </c>
      <c r="C8" s="17">
        <v>6.4420938593924451</v>
      </c>
      <c r="D8" s="15" t="s">
        <v>68</v>
      </c>
    </row>
    <row r="9" spans="1:8">
      <c r="A9" s="13">
        <v>1239.6062321980269</v>
      </c>
      <c r="B9" s="17">
        <v>6.6</v>
      </c>
      <c r="C9" s="17">
        <v>6.6587024694222094</v>
      </c>
      <c r="D9" s="15" t="s">
        <v>69</v>
      </c>
    </row>
    <row r="10" spans="1:8">
      <c r="A10" s="13">
        <v>1183.6020329581745</v>
      </c>
      <c r="B10" s="17">
        <v>6.9</v>
      </c>
      <c r="C10" s="17">
        <v>6.7279918770384022</v>
      </c>
      <c r="D10" s="15" t="s">
        <v>70</v>
      </c>
    </row>
    <row r="11" spans="1:8">
      <c r="A11" s="13">
        <v>1273.8660139749754</v>
      </c>
      <c r="B11" s="17">
        <v>7</v>
      </c>
      <c r="C11" s="17">
        <v>6.616315648137288</v>
      </c>
      <c r="D11" s="15" t="s">
        <v>71</v>
      </c>
    </row>
    <row r="12" spans="1:8">
      <c r="A12" s="13">
        <v>1241.5319798627588</v>
      </c>
      <c r="B12" s="17">
        <v>6.7</v>
      </c>
      <c r="C12" s="17">
        <v>6.6563198996021136</v>
      </c>
      <c r="D12" s="15" t="s">
        <v>72</v>
      </c>
    </row>
    <row r="13" spans="1:8">
      <c r="A13" s="12"/>
      <c r="B13" s="12"/>
      <c r="C13" s="12"/>
      <c r="D13" s="12"/>
    </row>
  </sheetData>
  <mergeCells count="2">
    <mergeCell ref="A1:H1"/>
    <mergeCell ref="A2:H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7"/>
  <sheetViews>
    <sheetView showGridLines="0" workbookViewId="0">
      <selection activeCell="C24" sqref="C24"/>
    </sheetView>
  </sheetViews>
  <sheetFormatPr defaultRowHeight="15"/>
  <cols>
    <col min="1" max="3" width="20.875" customWidth="1"/>
  </cols>
  <sheetData>
    <row r="1" spans="1:8" ht="22.5" customHeight="1">
      <c r="A1" s="18" t="s">
        <v>73</v>
      </c>
      <c r="B1" s="21"/>
      <c r="C1" s="21"/>
      <c r="D1" s="21"/>
      <c r="E1" s="21"/>
      <c r="F1" s="21"/>
      <c r="G1" s="21"/>
      <c r="H1" s="21"/>
    </row>
    <row r="2" spans="1:8" ht="22.5" customHeight="1">
      <c r="A2" s="19" t="s">
        <v>74</v>
      </c>
      <c r="B2" s="21"/>
      <c r="C2" s="21"/>
      <c r="D2" s="21"/>
      <c r="E2" s="21"/>
      <c r="F2" s="21"/>
      <c r="G2" s="21"/>
      <c r="H2" s="21"/>
    </row>
    <row r="4" spans="1:8">
      <c r="A4" s="5" t="s">
        <v>75</v>
      </c>
      <c r="B4" s="5" t="s">
        <v>76</v>
      </c>
      <c r="C4" s="5" t="s">
        <v>77</v>
      </c>
    </row>
    <row r="5" spans="1:8">
      <c r="A5" s="14">
        <v>4.9431502678584351</v>
      </c>
      <c r="B5" s="14">
        <v>1.5662074631709306</v>
      </c>
      <c r="C5" s="14"/>
    </row>
    <row r="6" spans="1:8">
      <c r="A6" s="14">
        <v>4.6095111027680744</v>
      </c>
      <c r="B6" s="14">
        <v>1.4877421689144439</v>
      </c>
      <c r="C6" s="14"/>
    </row>
    <row r="7" spans="1:8">
      <c r="A7" s="14">
        <v>4.7205120290452163</v>
      </c>
      <c r="B7" s="14">
        <v>1.5278234841154041</v>
      </c>
      <c r="C7" s="14"/>
    </row>
    <row r="8" spans="1:8">
      <c r="A8" s="14">
        <v>6.1491562748503119</v>
      </c>
      <c r="B8" s="14">
        <v>1.9237532534891455</v>
      </c>
      <c r="C8" s="14"/>
    </row>
    <row r="9" spans="1:8">
      <c r="A9" s="14">
        <v>7.0255938868083803</v>
      </c>
      <c r="B9" s="14">
        <v>2.1332032388763111</v>
      </c>
      <c r="C9" s="14"/>
    </row>
    <row r="10" spans="1:8">
      <c r="A10" s="14">
        <v>6.9139997834307563</v>
      </c>
      <c r="B10" s="14">
        <v>1.9824621679757948</v>
      </c>
      <c r="C10" s="14"/>
    </row>
    <row r="11" spans="1:8">
      <c r="A11" s="14">
        <v>7.0252490278089743</v>
      </c>
      <c r="B11" s="14">
        <v>1.9635244496980806</v>
      </c>
      <c r="C11" s="14"/>
    </row>
    <row r="12" spans="1:8">
      <c r="A12" s="14">
        <v>7.3813100313450803</v>
      </c>
      <c r="B12" s="14">
        <v>2.2271412704671585</v>
      </c>
      <c r="C12" s="14"/>
    </row>
    <row r="13" spans="1:8">
      <c r="A13" s="14">
        <v>7.1742342474019045</v>
      </c>
      <c r="B13" s="14">
        <v>2.3285799156245313</v>
      </c>
      <c r="C13" s="14"/>
    </row>
    <row r="14" spans="1:8">
      <c r="A14" s="14">
        <v>1.672172327091757</v>
      </c>
      <c r="B14" s="14">
        <v>0.89553762719959851</v>
      </c>
      <c r="C14" s="14"/>
    </row>
    <row r="15" spans="1:8">
      <c r="A15" s="14">
        <v>1.4344109448268174</v>
      </c>
      <c r="B15" s="14">
        <v>0.88783943384759834</v>
      </c>
      <c r="C15" s="14"/>
    </row>
    <row r="16" spans="1:8">
      <c r="A16" s="14">
        <v>1.6422972818726571</v>
      </c>
      <c r="B16" s="14">
        <v>0.9344262057275895</v>
      </c>
      <c r="C16" s="14"/>
    </row>
    <row r="17" spans="1:3">
      <c r="A17" s="14">
        <v>1.9170915469438516</v>
      </c>
      <c r="B17" s="14">
        <v>1.0593597016524439</v>
      </c>
      <c r="C17" s="14"/>
    </row>
    <row r="18" spans="1:3">
      <c r="A18" s="14">
        <v>1.9467360411346699</v>
      </c>
      <c r="B18" s="14">
        <v>1.1318127000634464</v>
      </c>
      <c r="C18" s="14"/>
    </row>
    <row r="19" spans="1:3">
      <c r="A19" s="14">
        <v>2.2179357021536243</v>
      </c>
      <c r="B19" s="14">
        <v>1.1148417965267345</v>
      </c>
      <c r="C19" s="14"/>
    </row>
    <row r="20" spans="1:3">
      <c r="A20" s="14">
        <v>2.1255303082753256</v>
      </c>
      <c r="B20" s="14">
        <v>1.1148720543351067</v>
      </c>
      <c r="C20" s="14"/>
    </row>
    <row r="21" spans="1:3">
      <c r="A21" s="14">
        <v>1.9234867455180524</v>
      </c>
      <c r="B21" s="14">
        <v>1.1951566063140722</v>
      </c>
      <c r="C21" s="14"/>
    </row>
    <row r="22" spans="1:3">
      <c r="A22" s="14">
        <v>1.995237981371107</v>
      </c>
      <c r="B22" s="14">
        <v>1.2841474205034886</v>
      </c>
      <c r="C22" s="14"/>
    </row>
    <row r="23" spans="1:3">
      <c r="A23" s="14">
        <v>1.4344109448268174</v>
      </c>
      <c r="B23" s="14"/>
      <c r="C23" s="14">
        <v>1.0017055871532314</v>
      </c>
    </row>
    <row r="24" spans="1:3">
      <c r="A24" s="14">
        <v>1.6821984067650786</v>
      </c>
      <c r="B24" s="14"/>
      <c r="C24" s="14">
        <v>1.0336321346985771</v>
      </c>
    </row>
    <row r="25" spans="1:3">
      <c r="A25" s="14">
        <v>1.9299858687033395</v>
      </c>
      <c r="B25" s="14"/>
      <c r="C25" s="14">
        <v>1.0671448704128932</v>
      </c>
    </row>
    <row r="26" spans="1:3">
      <c r="A26" s="14">
        <v>2.1777733306416005</v>
      </c>
      <c r="B26" s="14"/>
      <c r="C26" s="14">
        <v>1.1022437942961796</v>
      </c>
    </row>
    <row r="27" spans="1:3">
      <c r="A27" s="14">
        <v>2.4255607925798612</v>
      </c>
      <c r="B27" s="14"/>
      <c r="C27" s="14">
        <v>1.1389289063484369</v>
      </c>
    </row>
    <row r="28" spans="1:3">
      <c r="A28" s="14">
        <v>2.6733482545181224</v>
      </c>
      <c r="B28" s="14"/>
      <c r="C28" s="14">
        <v>1.1772002065696643</v>
      </c>
    </row>
    <row r="29" spans="1:3">
      <c r="A29" s="14">
        <v>2.9211357164563831</v>
      </c>
      <c r="B29" s="14"/>
      <c r="C29" s="14">
        <v>1.2170576949598619</v>
      </c>
    </row>
    <row r="30" spans="1:3">
      <c r="A30" s="14">
        <v>3.1689231783946439</v>
      </c>
      <c r="B30" s="14"/>
      <c r="C30" s="14">
        <v>1.2585013715190305</v>
      </c>
    </row>
    <row r="31" spans="1:3">
      <c r="A31" s="14">
        <v>3.4167106403329055</v>
      </c>
      <c r="B31" s="14"/>
      <c r="C31" s="14">
        <v>1.3015312362471696</v>
      </c>
    </row>
    <row r="32" spans="1:3">
      <c r="A32" s="14">
        <v>3.6644981022711658</v>
      </c>
      <c r="B32" s="14"/>
      <c r="C32" s="14">
        <v>1.3461472891442787</v>
      </c>
    </row>
    <row r="33" spans="1:3">
      <c r="A33" s="14">
        <v>3.912285564209427</v>
      </c>
      <c r="B33" s="14"/>
      <c r="C33" s="14">
        <v>1.3923495302103588</v>
      </c>
    </row>
    <row r="34" spans="1:3">
      <c r="A34" s="14">
        <v>4.1600730261476881</v>
      </c>
      <c r="B34" s="14"/>
      <c r="C34" s="14">
        <v>1.4401379594454091</v>
      </c>
    </row>
    <row r="35" spans="1:3">
      <c r="A35" s="14">
        <v>4.4078604880859489</v>
      </c>
      <c r="B35" s="14"/>
      <c r="C35" s="14">
        <v>1.4895125768494302</v>
      </c>
    </row>
    <row r="36" spans="1:3">
      <c r="A36" s="14">
        <v>4.6556479500242096</v>
      </c>
      <c r="B36" s="14"/>
      <c r="C36" s="14">
        <v>1.5404733824224213</v>
      </c>
    </row>
    <row r="37" spans="1:3">
      <c r="A37" s="14">
        <v>4.9034354119624703</v>
      </c>
      <c r="B37" s="14"/>
      <c r="C37" s="14">
        <v>1.5930203761643829</v>
      </c>
    </row>
    <row r="38" spans="1:3">
      <c r="A38" s="14">
        <v>5.1512228739007311</v>
      </c>
      <c r="B38" s="14"/>
      <c r="C38" s="14">
        <v>1.6471535580753152</v>
      </c>
    </row>
    <row r="39" spans="1:3">
      <c r="A39" s="14">
        <v>5.3990103358389927</v>
      </c>
      <c r="B39" s="14"/>
      <c r="C39" s="14">
        <v>1.7028729281552182</v>
      </c>
    </row>
    <row r="40" spans="1:3">
      <c r="A40" s="14">
        <v>5.6467977977772534</v>
      </c>
      <c r="B40" s="14"/>
      <c r="C40" s="14">
        <v>1.7601784864040915</v>
      </c>
    </row>
    <row r="41" spans="1:3">
      <c r="A41" s="14">
        <v>5.8945852597155142</v>
      </c>
      <c r="B41" s="14"/>
      <c r="C41" s="14">
        <v>1.819070232821935</v>
      </c>
    </row>
    <row r="42" spans="1:3">
      <c r="A42" s="14">
        <v>6.1423727216537749</v>
      </c>
      <c r="B42" s="14"/>
      <c r="C42" s="14">
        <v>1.8795481674087491</v>
      </c>
    </row>
    <row r="43" spans="1:3">
      <c r="A43" s="14">
        <v>6.3901601835920365</v>
      </c>
      <c r="B43" s="14"/>
      <c r="C43" s="14">
        <v>1.9416122901645338</v>
      </c>
    </row>
    <row r="44" spans="1:3">
      <c r="A44" s="14">
        <v>6.6379476455302973</v>
      </c>
      <c r="B44" s="14"/>
      <c r="C44" s="14">
        <v>2.0052626010892887</v>
      </c>
    </row>
    <row r="45" spans="1:3">
      <c r="A45" s="14">
        <v>6.8857351074685589</v>
      </c>
      <c r="B45" s="14"/>
      <c r="C45" s="14">
        <v>2.0704991001830151</v>
      </c>
    </row>
    <row r="46" spans="1:3">
      <c r="A46" s="14">
        <v>7.1335225694068196</v>
      </c>
      <c r="B46" s="14"/>
      <c r="C46" s="14">
        <v>2.1373217874457104</v>
      </c>
    </row>
    <row r="47" spans="1:3">
      <c r="A47" s="14">
        <v>7.3813100313450803</v>
      </c>
      <c r="B47" s="14"/>
      <c r="C47" s="14">
        <v>2.2057306628773774</v>
      </c>
    </row>
  </sheetData>
  <mergeCells count="2">
    <mergeCell ref="A1:H1"/>
    <mergeCell ref="A2:H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2"/>
  <sheetViews>
    <sheetView showGridLines="0" workbookViewId="0">
      <selection activeCell="S19" sqref="S19"/>
    </sheetView>
  </sheetViews>
  <sheetFormatPr defaultRowHeight="14.25"/>
  <cols>
    <col min="1" max="4" width="20.875" style="12" customWidth="1"/>
  </cols>
  <sheetData>
    <row r="1" spans="1:8" ht="22.5" customHeight="1">
      <c r="A1" s="18" t="s">
        <v>78</v>
      </c>
      <c r="B1" s="21"/>
      <c r="C1" s="21"/>
      <c r="D1" s="21"/>
      <c r="E1" s="21"/>
      <c r="F1" s="21"/>
      <c r="G1" s="21"/>
      <c r="H1" s="21"/>
    </row>
    <row r="2" spans="1:8" ht="22.5" customHeight="1">
      <c r="A2" s="19" t="s">
        <v>79</v>
      </c>
      <c r="B2" s="21"/>
      <c r="C2" s="21"/>
      <c r="D2" s="21"/>
      <c r="E2" s="21"/>
      <c r="F2" s="21"/>
      <c r="G2" s="21"/>
      <c r="H2" s="21"/>
    </row>
    <row r="4" spans="1:8" ht="33">
      <c r="A4" s="5" t="s">
        <v>80</v>
      </c>
      <c r="B4" s="5" t="s">
        <v>56</v>
      </c>
      <c r="C4" s="5" t="s">
        <v>81</v>
      </c>
      <c r="D4" s="5" t="s">
        <v>64</v>
      </c>
    </row>
    <row r="5" spans="1:8">
      <c r="A5" s="14">
        <v>31.68439918476265</v>
      </c>
      <c r="B5" s="14">
        <v>3.2136163453696356</v>
      </c>
      <c r="C5" s="14"/>
      <c r="D5" s="15" t="s">
        <v>65</v>
      </c>
    </row>
    <row r="6" spans="1:8">
      <c r="A6" s="14">
        <v>32.2754872641707</v>
      </c>
      <c r="B6" s="14">
        <v>3.7754756748384835</v>
      </c>
      <c r="C6" s="14"/>
      <c r="D6" s="15" t="s">
        <v>82</v>
      </c>
    </row>
    <row r="7" spans="1:8">
      <c r="A7" s="14">
        <v>32.365630565386482</v>
      </c>
      <c r="B7" s="14">
        <v>3.8127086228207232</v>
      </c>
      <c r="C7" s="14"/>
      <c r="D7" s="15" t="s">
        <v>66</v>
      </c>
    </row>
    <row r="8" spans="1:8">
      <c r="A8" s="14">
        <v>31.284832707166402</v>
      </c>
      <c r="B8" s="14">
        <v>4.0360196281190222</v>
      </c>
      <c r="C8" s="14"/>
      <c r="D8" s="15" t="s">
        <v>83</v>
      </c>
    </row>
    <row r="9" spans="1:8">
      <c r="A9" s="14">
        <v>30.363315518161741</v>
      </c>
      <c r="B9" s="14">
        <v>4.020536293552639</v>
      </c>
      <c r="C9" s="14"/>
      <c r="D9" s="15" t="s">
        <v>67</v>
      </c>
    </row>
    <row r="10" spans="1:8">
      <c r="A10" s="14">
        <v>28.673159243173835</v>
      </c>
      <c r="B10" s="14">
        <v>3.9125214136603188</v>
      </c>
      <c r="C10" s="14"/>
      <c r="D10" s="15" t="s">
        <v>84</v>
      </c>
    </row>
    <row r="11" spans="1:8">
      <c r="A11" s="14">
        <v>27.949535196910482</v>
      </c>
      <c r="B11" s="14">
        <v>3.843316799277781</v>
      </c>
      <c r="C11" s="14"/>
      <c r="D11" s="15" t="s">
        <v>68</v>
      </c>
    </row>
    <row r="12" spans="1:8">
      <c r="A12" s="14">
        <v>30.172710006888998</v>
      </c>
      <c r="B12" s="14">
        <v>4.2403240501724113</v>
      </c>
      <c r="C12" s="14"/>
      <c r="D12" s="15" t="s">
        <v>85</v>
      </c>
    </row>
    <row r="13" spans="1:8">
      <c r="A13" s="14">
        <v>32.457539513263164</v>
      </c>
      <c r="B13" s="14">
        <v>4.5380745183887869</v>
      </c>
      <c r="C13" s="14"/>
      <c r="D13" s="15" t="s">
        <v>86</v>
      </c>
    </row>
    <row r="14" spans="1:8">
      <c r="A14" s="14">
        <v>53.555343112101255</v>
      </c>
      <c r="B14" s="14">
        <v>4.1024530818861846</v>
      </c>
      <c r="C14" s="14"/>
      <c r="D14" s="15" t="s">
        <v>69</v>
      </c>
    </row>
    <row r="15" spans="1:8">
      <c r="A15" s="14">
        <v>61.895751496429838</v>
      </c>
      <c r="B15" s="14">
        <v>4.5303899497988942</v>
      </c>
      <c r="C15" s="14"/>
      <c r="D15" s="15" t="s">
        <v>87</v>
      </c>
    </row>
    <row r="16" spans="1:8">
      <c r="A16" s="14">
        <v>56.89750668417927</v>
      </c>
      <c r="B16" s="14">
        <v>4.1244135023173847</v>
      </c>
      <c r="C16" s="14"/>
      <c r="D16" s="15" t="s">
        <v>70</v>
      </c>
    </row>
    <row r="17" spans="1:4">
      <c r="A17" s="14">
        <v>55.258691393284337</v>
      </c>
      <c r="B17" s="14">
        <v>3.8646153988775103</v>
      </c>
      <c r="C17" s="14"/>
      <c r="D17" s="15" t="s">
        <v>88</v>
      </c>
    </row>
    <row r="18" spans="1:4">
      <c r="A18" s="14">
        <v>58.138991427094588</v>
      </c>
      <c r="B18" s="14">
        <v>4.0238126453202261</v>
      </c>
      <c r="C18" s="14"/>
      <c r="D18" s="15" t="s">
        <v>71</v>
      </c>
    </row>
    <row r="19" spans="1:4">
      <c r="A19" s="14">
        <v>50.264838401050973</v>
      </c>
      <c r="B19" s="14">
        <v>4.1459431376134539</v>
      </c>
      <c r="C19" s="14"/>
      <c r="D19" s="15" t="s">
        <v>89</v>
      </c>
    </row>
    <row r="20" spans="1:4">
      <c r="A20" s="14">
        <v>52.451477638054655</v>
      </c>
      <c r="B20" s="14">
        <v>4.2523333984121443</v>
      </c>
      <c r="C20" s="14"/>
      <c r="D20" s="15" t="s">
        <v>72</v>
      </c>
    </row>
    <row r="21" spans="1:4">
      <c r="A21" s="14">
        <v>62.13490210415673</v>
      </c>
      <c r="B21" s="14">
        <v>4.4922388359224819</v>
      </c>
      <c r="C21" s="14"/>
      <c r="D21" s="15" t="s">
        <v>90</v>
      </c>
    </row>
    <row r="22" spans="1:4">
      <c r="A22" s="14">
        <v>64.360614247180465</v>
      </c>
      <c r="B22" s="14">
        <v>4.4711611669658371</v>
      </c>
      <c r="C22" s="14"/>
      <c r="D22" s="15" t="s">
        <v>91</v>
      </c>
    </row>
    <row r="23" spans="1:4">
      <c r="A23" s="14">
        <v>27.949535196910482</v>
      </c>
      <c r="B23" s="14"/>
      <c r="C23" s="14">
        <v>3.8833816342097807</v>
      </c>
      <c r="D23" s="15" t="s">
        <v>92</v>
      </c>
    </row>
    <row r="24" spans="1:4">
      <c r="A24" s="14">
        <v>29.865907778503637</v>
      </c>
      <c r="B24" s="14"/>
      <c r="C24" s="14">
        <v>3.9065767600278525</v>
      </c>
      <c r="D24" s="15" t="s">
        <v>92</v>
      </c>
    </row>
    <row r="25" spans="1:4">
      <c r="A25" s="14">
        <v>31.782280360096795</v>
      </c>
      <c r="B25" s="14"/>
      <c r="C25" s="14">
        <v>3.9297718858459243</v>
      </c>
      <c r="D25" s="15" t="s">
        <v>92</v>
      </c>
    </row>
    <row r="26" spans="1:4">
      <c r="A26" s="14">
        <v>33.69865294168995</v>
      </c>
      <c r="B26" s="14"/>
      <c r="C26" s="14">
        <v>3.9529670116639961</v>
      </c>
      <c r="D26" s="15" t="s">
        <v>92</v>
      </c>
    </row>
    <row r="27" spans="1:4">
      <c r="A27" s="14">
        <v>35.615025523283101</v>
      </c>
      <c r="B27" s="14"/>
      <c r="C27" s="14">
        <v>3.9761621374820679</v>
      </c>
      <c r="D27" s="15" t="s">
        <v>92</v>
      </c>
    </row>
    <row r="28" spans="1:4">
      <c r="A28" s="14">
        <v>37.531398104876267</v>
      </c>
      <c r="B28" s="14"/>
      <c r="C28" s="14">
        <v>3.9993572633001397</v>
      </c>
      <c r="D28" s="15" t="s">
        <v>92</v>
      </c>
    </row>
    <row r="29" spans="1:4">
      <c r="A29" s="14">
        <v>39.447770686469418</v>
      </c>
      <c r="B29" s="14"/>
      <c r="C29" s="14">
        <v>4.0225523891182116</v>
      </c>
      <c r="D29" s="15" t="s">
        <v>92</v>
      </c>
    </row>
    <row r="30" spans="1:4">
      <c r="A30" s="14">
        <v>41.364143268062577</v>
      </c>
      <c r="B30" s="14"/>
      <c r="C30" s="14">
        <v>4.0457475149362834</v>
      </c>
      <c r="D30" s="15" t="s">
        <v>92</v>
      </c>
    </row>
    <row r="31" spans="1:4">
      <c r="A31" s="14">
        <v>43.280515849655728</v>
      </c>
      <c r="B31" s="14"/>
      <c r="C31" s="14">
        <v>4.0689426407543552</v>
      </c>
      <c r="D31" s="15" t="s">
        <v>92</v>
      </c>
    </row>
    <row r="32" spans="1:4">
      <c r="A32" s="14">
        <v>45.196888431248887</v>
      </c>
      <c r="B32" s="14"/>
      <c r="C32" s="14">
        <v>4.092137766572427</v>
      </c>
      <c r="D32" s="15" t="s">
        <v>92</v>
      </c>
    </row>
    <row r="33" spans="1:4">
      <c r="A33" s="14">
        <v>47.113261012842038</v>
      </c>
      <c r="B33" s="14"/>
      <c r="C33" s="14">
        <v>4.1153328923904988</v>
      </c>
      <c r="D33" s="15" t="s">
        <v>92</v>
      </c>
    </row>
    <row r="34" spans="1:4">
      <c r="A34" s="14">
        <v>49.029633594435204</v>
      </c>
      <c r="B34" s="14"/>
      <c r="C34" s="14">
        <v>4.1385280182085706</v>
      </c>
      <c r="D34" s="15" t="s">
        <v>92</v>
      </c>
    </row>
    <row r="35" spans="1:4">
      <c r="A35" s="14">
        <v>50.946006176028355</v>
      </c>
      <c r="B35" s="14"/>
      <c r="C35" s="14">
        <v>4.1617231440266425</v>
      </c>
      <c r="D35" s="15" t="s">
        <v>92</v>
      </c>
    </row>
    <row r="36" spans="1:4">
      <c r="A36" s="14">
        <v>52.862378757621514</v>
      </c>
      <c r="B36" s="14"/>
      <c r="C36" s="14">
        <v>4.1849182698447143</v>
      </c>
      <c r="D36" s="15" t="s">
        <v>92</v>
      </c>
    </row>
    <row r="37" spans="1:4">
      <c r="A37" s="14">
        <v>54.778751339214679</v>
      </c>
      <c r="B37" s="14"/>
      <c r="C37" s="14">
        <v>4.2081133956627861</v>
      </c>
      <c r="D37" s="15" t="s">
        <v>92</v>
      </c>
    </row>
    <row r="38" spans="1:4">
      <c r="A38" s="14">
        <v>56.695123920807831</v>
      </c>
      <c r="B38" s="14"/>
      <c r="C38" s="14">
        <v>4.2313085214808579</v>
      </c>
      <c r="D38" s="15" t="s">
        <v>92</v>
      </c>
    </row>
    <row r="39" spans="1:4">
      <c r="A39" s="14">
        <v>58.611496502400989</v>
      </c>
      <c r="B39" s="14"/>
      <c r="C39" s="14">
        <v>4.2545036472989306</v>
      </c>
      <c r="D39" s="15" t="s">
        <v>92</v>
      </c>
    </row>
    <row r="40" spans="1:4">
      <c r="A40" s="14">
        <v>60.52786908399414</v>
      </c>
      <c r="B40" s="14"/>
      <c r="C40" s="14">
        <v>4.2776987731170024</v>
      </c>
      <c r="D40" s="15" t="s">
        <v>92</v>
      </c>
    </row>
    <row r="41" spans="1:4">
      <c r="A41" s="14">
        <v>62.444241665587299</v>
      </c>
      <c r="B41" s="14"/>
      <c r="C41" s="14">
        <v>4.3008938989350742</v>
      </c>
      <c r="D41" s="15" t="s">
        <v>92</v>
      </c>
    </row>
    <row r="42" spans="1:4">
      <c r="A42" s="14">
        <v>64.36061424718045</v>
      </c>
      <c r="B42" s="14"/>
      <c r="C42" s="14">
        <v>4.3240890247531452</v>
      </c>
      <c r="D42" s="15" t="s">
        <v>92</v>
      </c>
    </row>
  </sheetData>
  <mergeCells count="2">
    <mergeCell ref="A1:H1"/>
    <mergeCell ref="A2:H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showGridLines="0" workbookViewId="0">
      <selection activeCell="J18" sqref="J18"/>
    </sheetView>
  </sheetViews>
  <sheetFormatPr defaultRowHeight="15"/>
  <cols>
    <col min="1" max="4" width="23.5" customWidth="1"/>
  </cols>
  <sheetData>
    <row r="1" spans="1:8" ht="22.5" customHeight="1">
      <c r="A1" s="18" t="s">
        <v>93</v>
      </c>
      <c r="B1" s="21"/>
      <c r="C1" s="21"/>
      <c r="D1" s="21"/>
      <c r="E1" s="21"/>
      <c r="F1" s="21"/>
      <c r="G1" s="21"/>
      <c r="H1" s="21"/>
    </row>
    <row r="2" spans="1:8" ht="22.5" customHeight="1">
      <c r="A2" s="19" t="s">
        <v>94</v>
      </c>
      <c r="B2" s="21"/>
      <c r="C2" s="21"/>
      <c r="D2" s="21"/>
      <c r="E2" s="21"/>
      <c r="F2" s="21"/>
      <c r="G2" s="21"/>
      <c r="H2" s="21"/>
    </row>
    <row r="4" spans="1:8">
      <c r="A4" s="20" t="s">
        <v>95</v>
      </c>
      <c r="B4" s="21"/>
      <c r="C4" s="21"/>
      <c r="D4" s="21"/>
      <c r="E4" s="21"/>
      <c r="F4" s="21"/>
      <c r="G4" s="21"/>
      <c r="H4" s="21"/>
    </row>
    <row r="5" spans="1:8">
      <c r="A5" s="21"/>
      <c r="B5" s="21"/>
      <c r="C5" s="21"/>
      <c r="D5" s="21"/>
      <c r="E5" s="21"/>
      <c r="F5" s="21"/>
      <c r="G5" s="21"/>
      <c r="H5" s="21"/>
    </row>
    <row r="7" spans="1:8">
      <c r="A7" s="1" t="s">
        <v>96</v>
      </c>
      <c r="B7" s="1" t="s">
        <v>97</v>
      </c>
      <c r="C7" s="1" t="s">
        <v>98</v>
      </c>
      <c r="D7" s="1" t="s">
        <v>99</v>
      </c>
    </row>
    <row r="8" spans="1:8">
      <c r="A8" t="s">
        <v>100</v>
      </c>
      <c r="B8" s="9">
        <v>6632.1680520478612</v>
      </c>
      <c r="C8" t="s">
        <v>101</v>
      </c>
      <c r="D8" t="s">
        <v>102</v>
      </c>
    </row>
    <row r="9" spans="1:8">
      <c r="A9" t="s">
        <v>103</v>
      </c>
      <c r="B9" s="9">
        <v>12077.454410348093</v>
      </c>
      <c r="C9" t="s">
        <v>101</v>
      </c>
      <c r="D9" t="s">
        <v>104</v>
      </c>
    </row>
  </sheetData>
  <mergeCells count="3">
    <mergeCell ref="A1:H1"/>
    <mergeCell ref="A2:H2"/>
    <mergeCell ref="A4:H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7"/>
  <sheetViews>
    <sheetView showGridLines="0" workbookViewId="0">
      <selection activeCell="B16" sqref="B16"/>
    </sheetView>
  </sheetViews>
  <sheetFormatPr defaultRowHeight="15"/>
  <cols>
    <col min="1" max="1" width="41" bestFit="1" customWidth="1"/>
    <col min="2" max="7" width="19.5" customWidth="1"/>
    <col min="8" max="8" width="42.375" customWidth="1"/>
  </cols>
  <sheetData>
    <row r="1" spans="1:8" ht="22.5" customHeight="1">
      <c r="A1" s="18" t="s">
        <v>105</v>
      </c>
      <c r="B1" s="21"/>
      <c r="C1" s="21"/>
      <c r="D1" s="21"/>
      <c r="E1" s="21"/>
      <c r="F1" s="21"/>
      <c r="G1" s="21"/>
      <c r="H1" s="21"/>
    </row>
    <row r="2" spans="1:8" ht="22.5" customHeight="1">
      <c r="A2" s="19" t="s">
        <v>106</v>
      </c>
      <c r="B2" s="21"/>
      <c r="C2" s="21"/>
      <c r="D2" s="21"/>
      <c r="E2" s="21"/>
      <c r="F2" s="21"/>
      <c r="G2" s="21"/>
      <c r="H2" s="21"/>
    </row>
    <row r="4" spans="1:8">
      <c r="A4" s="5" t="s">
        <v>107</v>
      </c>
      <c r="B4" s="5" t="s">
        <v>108</v>
      </c>
      <c r="C4" s="5" t="s">
        <v>109</v>
      </c>
      <c r="D4" s="5" t="s">
        <v>110</v>
      </c>
      <c r="E4" s="5" t="s">
        <v>111</v>
      </c>
      <c r="F4" s="5" t="s">
        <v>112</v>
      </c>
      <c r="G4" s="5" t="s">
        <v>113</v>
      </c>
      <c r="H4" s="5" t="s">
        <v>3</v>
      </c>
    </row>
    <row r="5" spans="1:8">
      <c r="A5" s="2" t="s">
        <v>114</v>
      </c>
      <c r="B5" s="15">
        <v>18</v>
      </c>
      <c r="C5" s="11">
        <v>3545089909.6903172</v>
      </c>
      <c r="D5" s="11">
        <v>1.2103661908368989E-2</v>
      </c>
      <c r="E5" s="11"/>
      <c r="F5" s="11">
        <v>0.26486710345412856</v>
      </c>
      <c r="G5" s="11">
        <v>0.51465241032577336</v>
      </c>
      <c r="H5" s="2" t="s">
        <v>115</v>
      </c>
    </row>
    <row r="6" spans="1:8">
      <c r="A6" s="2" t="s">
        <v>116</v>
      </c>
      <c r="B6" s="15">
        <v>8</v>
      </c>
      <c r="C6" s="11">
        <v>8.192365706682132</v>
      </c>
      <c r="D6" s="11">
        <v>-1.2372180757275507E-3</v>
      </c>
      <c r="E6" s="11"/>
      <c r="F6" s="11">
        <v>0.56910277772619622</v>
      </c>
      <c r="G6" s="11">
        <v>-0.75438900954759147</v>
      </c>
      <c r="H6" s="2" t="s">
        <v>117</v>
      </c>
    </row>
    <row r="7" spans="1:8">
      <c r="A7" s="2" t="s">
        <v>118</v>
      </c>
      <c r="B7" s="15">
        <v>18</v>
      </c>
      <c r="C7" s="11">
        <v>848055324.44424677</v>
      </c>
      <c r="D7" s="11">
        <v>8858885080.4016743</v>
      </c>
      <c r="E7" s="11">
        <v>129171307626.67566</v>
      </c>
      <c r="F7" s="11">
        <v>0.95729798662306098</v>
      </c>
      <c r="G7" s="11">
        <v>0.97562849383753425</v>
      </c>
      <c r="H7" s="2" t="s">
        <v>119</v>
      </c>
    </row>
  </sheetData>
  <mergeCells count="2"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2026-05-05T03:18:13Z</dcterms:created>
  <dcterms:modified xsi:type="dcterms:W3CDTF">2026-05-07T02:51:03Z</dcterms:modified>
  <cp:category/>
  <cp:contentStatus/>
</cp:coreProperties>
</file>